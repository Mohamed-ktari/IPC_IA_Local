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ur-IPC\Echange\I3F\738_CHILLY MAZARIN\738_CHM DIAGNOSTICS REGLEMENTAIRES ET MO\738_CHM AMIANTE\"/>
    </mc:Choice>
  </mc:AlternateContent>
  <xr:revisionPtr revIDLastSave="0" documentId="13_ncr:1_{44256988-F876-4BA3-97CA-DF4D825B4F7B}" xr6:coauthVersionLast="47" xr6:coauthVersionMax="47" xr10:uidLastSave="{00000000-0000-0000-0000-000000000000}"/>
  <bookViews>
    <workbookView xWindow="-38520" yWindow="-120" windowWidth="38640" windowHeight="21240" xr2:uid="{D8572BAA-D117-4E94-AB89-8A41CDC93E70}"/>
  </bookViews>
  <sheets>
    <sheet name="Feuil1" sheetId="1" r:id="rId1"/>
  </sheets>
  <definedNames>
    <definedName name="_xlnm.Print_Area" localSheetId="0">Feuil1!$A:$T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0" i="1" l="1"/>
  <c r="A507" i="1" s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C509" i="1" s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E506" i="1" s="1"/>
  <c r="D505" i="1"/>
  <c r="D506" i="1" s="1"/>
  <c r="C505" i="1"/>
  <c r="C507" i="1" s="1"/>
  <c r="C476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E472" i="1" s="1"/>
  <c r="D471" i="1"/>
  <c r="D472" i="1" s="1"/>
  <c r="C471" i="1"/>
  <c r="C442" i="1"/>
  <c r="A439" i="1" s="1"/>
  <c r="R440" i="1"/>
  <c r="Q440" i="1"/>
  <c r="P440" i="1"/>
  <c r="O440" i="1"/>
  <c r="N440" i="1"/>
  <c r="M440" i="1"/>
  <c r="L440" i="1"/>
  <c r="K440" i="1"/>
  <c r="J440" i="1"/>
  <c r="I440" i="1"/>
  <c r="H440" i="1"/>
  <c r="H441" i="1" s="1"/>
  <c r="G440" i="1"/>
  <c r="G441" i="1" s="1"/>
  <c r="F440" i="1"/>
  <c r="F441" i="1" s="1"/>
  <c r="E440" i="1"/>
  <c r="E441" i="1" s="1"/>
  <c r="D440" i="1"/>
  <c r="D441" i="1" s="1"/>
  <c r="C440" i="1"/>
  <c r="C441" i="1" s="1"/>
  <c r="R437" i="1"/>
  <c r="Q437" i="1"/>
  <c r="P437" i="1"/>
  <c r="O437" i="1"/>
  <c r="N437" i="1"/>
  <c r="M437" i="1"/>
  <c r="L437" i="1"/>
  <c r="L439" i="1" s="1"/>
  <c r="K437" i="1"/>
  <c r="K439" i="1" s="1"/>
  <c r="J437" i="1"/>
  <c r="I437" i="1"/>
  <c r="H437" i="1"/>
  <c r="H439" i="1" s="1"/>
  <c r="G437" i="1"/>
  <c r="G439" i="1" s="1"/>
  <c r="F437" i="1"/>
  <c r="F438" i="1" s="1"/>
  <c r="E437" i="1"/>
  <c r="E438" i="1" s="1"/>
  <c r="D437" i="1"/>
  <c r="D438" i="1" s="1"/>
  <c r="C437" i="1"/>
  <c r="C439" i="1" s="1"/>
  <c r="C408" i="1"/>
  <c r="A405" i="1" s="1"/>
  <c r="R406" i="1"/>
  <c r="Q406" i="1"/>
  <c r="P406" i="1"/>
  <c r="O406" i="1"/>
  <c r="N406" i="1"/>
  <c r="M406" i="1"/>
  <c r="L406" i="1"/>
  <c r="L407" i="1" s="1"/>
  <c r="K406" i="1"/>
  <c r="J406" i="1"/>
  <c r="I406" i="1"/>
  <c r="I407" i="1" s="1"/>
  <c r="H406" i="1"/>
  <c r="H407" i="1" s="1"/>
  <c r="G406" i="1"/>
  <c r="G407" i="1" s="1"/>
  <c r="F406" i="1"/>
  <c r="F407" i="1" s="1"/>
  <c r="E406" i="1"/>
  <c r="E407" i="1" s="1"/>
  <c r="D406" i="1"/>
  <c r="D407" i="1" s="1"/>
  <c r="C406" i="1"/>
  <c r="C407" i="1" s="1"/>
  <c r="R403" i="1"/>
  <c r="Q403" i="1"/>
  <c r="P403" i="1"/>
  <c r="O403" i="1"/>
  <c r="O405" i="1" s="1"/>
  <c r="N403" i="1"/>
  <c r="N405" i="1" s="1"/>
  <c r="M403" i="1"/>
  <c r="M405" i="1" s="1"/>
  <c r="L403" i="1"/>
  <c r="L405" i="1" s="1"/>
  <c r="K403" i="1"/>
  <c r="J403" i="1"/>
  <c r="J405" i="1" s="1"/>
  <c r="I403" i="1"/>
  <c r="I405" i="1" s="1"/>
  <c r="H403" i="1"/>
  <c r="H405" i="1" s="1"/>
  <c r="G403" i="1"/>
  <c r="G405" i="1" s="1"/>
  <c r="F403" i="1"/>
  <c r="F404" i="1" s="1"/>
  <c r="E403" i="1"/>
  <c r="D403" i="1"/>
  <c r="C403" i="1"/>
  <c r="C405" i="1" s="1"/>
  <c r="C374" i="1"/>
  <c r="A371" i="1" s="1"/>
  <c r="R372" i="1"/>
  <c r="Q372" i="1"/>
  <c r="P372" i="1"/>
  <c r="O372" i="1"/>
  <c r="N372" i="1"/>
  <c r="M372" i="1"/>
  <c r="L372" i="1"/>
  <c r="K372" i="1"/>
  <c r="J372" i="1"/>
  <c r="I372" i="1"/>
  <c r="H372" i="1"/>
  <c r="H373" i="1" s="1"/>
  <c r="G372" i="1"/>
  <c r="F372" i="1"/>
  <c r="E372" i="1"/>
  <c r="D372" i="1"/>
  <c r="C372" i="1"/>
  <c r="C373" i="1" s="1"/>
  <c r="R369" i="1"/>
  <c r="Q369" i="1"/>
  <c r="P369" i="1"/>
  <c r="O369" i="1"/>
  <c r="N369" i="1"/>
  <c r="M369" i="1"/>
  <c r="L369" i="1"/>
  <c r="K369" i="1"/>
  <c r="J369" i="1"/>
  <c r="I369" i="1"/>
  <c r="H369" i="1"/>
  <c r="H371" i="1" s="1"/>
  <c r="G369" i="1"/>
  <c r="G370" i="1" s="1"/>
  <c r="F369" i="1"/>
  <c r="F370" i="1" s="1"/>
  <c r="E369" i="1"/>
  <c r="D369" i="1"/>
  <c r="D370" i="1" s="1"/>
  <c r="C369" i="1"/>
  <c r="C371" i="1" s="1"/>
  <c r="C340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C339" i="1" s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F337" i="1" s="1"/>
  <c r="E335" i="1"/>
  <c r="D335" i="1"/>
  <c r="D336" i="1" s="1"/>
  <c r="C335" i="1"/>
  <c r="N407" i="1" l="1"/>
  <c r="I371" i="1"/>
  <c r="D339" i="1"/>
  <c r="E337" i="1"/>
  <c r="E339" i="1"/>
  <c r="F339" i="1"/>
  <c r="E371" i="1"/>
  <c r="G337" i="1"/>
  <c r="G373" i="1"/>
  <c r="D373" i="1"/>
  <c r="E373" i="1"/>
  <c r="F373" i="1"/>
  <c r="D509" i="1"/>
  <c r="E509" i="1"/>
  <c r="F507" i="1"/>
  <c r="K405" i="1"/>
  <c r="J407" i="1"/>
  <c r="I439" i="1"/>
  <c r="I441" i="1"/>
  <c r="G507" i="1"/>
  <c r="G509" i="1"/>
  <c r="F509" i="1"/>
  <c r="K407" i="1"/>
  <c r="J439" i="1"/>
  <c r="J441" i="1"/>
  <c r="H507" i="1"/>
  <c r="H509" i="1"/>
  <c r="I507" i="1"/>
  <c r="I509" i="1"/>
  <c r="L441" i="1"/>
  <c r="J507" i="1"/>
  <c r="J509" i="1"/>
  <c r="K507" i="1"/>
  <c r="K509" i="1"/>
  <c r="L507" i="1"/>
  <c r="L509" i="1"/>
  <c r="M507" i="1"/>
  <c r="N507" i="1"/>
  <c r="R407" i="1"/>
  <c r="O507" i="1"/>
  <c r="E404" i="1"/>
  <c r="D507" i="1"/>
  <c r="P507" i="1"/>
  <c r="R509" i="1"/>
  <c r="M509" i="1"/>
  <c r="N509" i="1"/>
  <c r="Q507" i="1"/>
  <c r="R507" i="1"/>
  <c r="O509" i="1"/>
  <c r="P509" i="1"/>
  <c r="Q509" i="1"/>
  <c r="F506" i="1"/>
  <c r="E507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C506" i="1"/>
  <c r="D473" i="1"/>
  <c r="E475" i="1"/>
  <c r="G475" i="1"/>
  <c r="D475" i="1"/>
  <c r="G473" i="1"/>
  <c r="H473" i="1"/>
  <c r="H475" i="1"/>
  <c r="F473" i="1"/>
  <c r="I473" i="1"/>
  <c r="I475" i="1"/>
  <c r="C473" i="1"/>
  <c r="J473" i="1"/>
  <c r="J475" i="1"/>
  <c r="L473" i="1"/>
  <c r="L475" i="1"/>
  <c r="M473" i="1"/>
  <c r="N473" i="1"/>
  <c r="N475" i="1"/>
  <c r="O473" i="1"/>
  <c r="F475" i="1"/>
  <c r="K473" i="1"/>
  <c r="C475" i="1"/>
  <c r="K475" i="1"/>
  <c r="P473" i="1"/>
  <c r="P475" i="1"/>
  <c r="R473" i="1"/>
  <c r="A473" i="1"/>
  <c r="M475" i="1"/>
  <c r="Q473" i="1"/>
  <c r="O475" i="1"/>
  <c r="Q475" i="1"/>
  <c r="R475" i="1"/>
  <c r="F472" i="1"/>
  <c r="E473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C472" i="1"/>
  <c r="K441" i="1"/>
  <c r="M441" i="1"/>
  <c r="N439" i="1"/>
  <c r="M439" i="1"/>
  <c r="O439" i="1"/>
  <c r="P439" i="1"/>
  <c r="Q439" i="1"/>
  <c r="R439" i="1"/>
  <c r="N441" i="1"/>
  <c r="O441" i="1"/>
  <c r="P441" i="1"/>
  <c r="Q441" i="1"/>
  <c r="R441" i="1"/>
  <c r="D439" i="1"/>
  <c r="G438" i="1"/>
  <c r="F439" i="1"/>
  <c r="E439" i="1"/>
  <c r="H438" i="1"/>
  <c r="I438" i="1"/>
  <c r="J438" i="1"/>
  <c r="K438" i="1"/>
  <c r="L438" i="1"/>
  <c r="M438" i="1"/>
  <c r="N438" i="1"/>
  <c r="O438" i="1"/>
  <c r="P438" i="1"/>
  <c r="Q438" i="1"/>
  <c r="R438" i="1"/>
  <c r="C438" i="1"/>
  <c r="M407" i="1"/>
  <c r="P405" i="1"/>
  <c r="Q405" i="1"/>
  <c r="R405" i="1"/>
  <c r="O407" i="1"/>
  <c r="P407" i="1"/>
  <c r="Q407" i="1"/>
  <c r="D404" i="1"/>
  <c r="D405" i="1"/>
  <c r="G404" i="1"/>
  <c r="F405" i="1"/>
  <c r="E405" i="1"/>
  <c r="H404" i="1"/>
  <c r="I404" i="1"/>
  <c r="J404" i="1"/>
  <c r="K404" i="1"/>
  <c r="L404" i="1"/>
  <c r="M404" i="1"/>
  <c r="N404" i="1"/>
  <c r="O404" i="1"/>
  <c r="P404" i="1"/>
  <c r="Q404" i="1"/>
  <c r="R404" i="1"/>
  <c r="C404" i="1"/>
  <c r="K371" i="1"/>
  <c r="I373" i="1"/>
  <c r="K373" i="1"/>
  <c r="J371" i="1"/>
  <c r="J373" i="1"/>
  <c r="L371" i="1"/>
  <c r="L373" i="1"/>
  <c r="M371" i="1"/>
  <c r="M373" i="1"/>
  <c r="N371" i="1"/>
  <c r="Q371" i="1"/>
  <c r="O371" i="1"/>
  <c r="P371" i="1"/>
  <c r="P373" i="1"/>
  <c r="N373" i="1"/>
  <c r="O373" i="1"/>
  <c r="R371" i="1"/>
  <c r="Q373" i="1"/>
  <c r="R373" i="1"/>
  <c r="D371" i="1"/>
  <c r="H370" i="1"/>
  <c r="G371" i="1"/>
  <c r="F371" i="1"/>
  <c r="I370" i="1"/>
  <c r="J370" i="1"/>
  <c r="K370" i="1"/>
  <c r="L370" i="1"/>
  <c r="M370" i="1"/>
  <c r="E370" i="1"/>
  <c r="N370" i="1"/>
  <c r="O370" i="1"/>
  <c r="P370" i="1"/>
  <c r="Q370" i="1"/>
  <c r="R370" i="1"/>
  <c r="C370" i="1"/>
  <c r="D337" i="1"/>
  <c r="H337" i="1"/>
  <c r="H339" i="1"/>
  <c r="I337" i="1"/>
  <c r="I339" i="1"/>
  <c r="G339" i="1"/>
  <c r="J337" i="1"/>
  <c r="K337" i="1"/>
  <c r="J339" i="1"/>
  <c r="K339" i="1"/>
  <c r="M339" i="1"/>
  <c r="M337" i="1"/>
  <c r="N339" i="1"/>
  <c r="P337" i="1"/>
  <c r="L337" i="1"/>
  <c r="N337" i="1"/>
  <c r="Q337" i="1"/>
  <c r="O337" i="1"/>
  <c r="R337" i="1"/>
  <c r="A337" i="1"/>
  <c r="L339" i="1"/>
  <c r="O339" i="1"/>
  <c r="P339" i="1"/>
  <c r="Q339" i="1"/>
  <c r="C337" i="1"/>
  <c r="R339" i="1"/>
  <c r="F336" i="1"/>
  <c r="G336" i="1"/>
  <c r="H336" i="1"/>
  <c r="I336" i="1"/>
  <c r="J336" i="1"/>
  <c r="E336" i="1"/>
  <c r="K336" i="1"/>
  <c r="L336" i="1"/>
  <c r="M336" i="1"/>
  <c r="N336" i="1"/>
  <c r="O336" i="1"/>
  <c r="P336" i="1"/>
  <c r="Q336" i="1"/>
  <c r="R336" i="1"/>
  <c r="C336" i="1"/>
  <c r="C312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E308" i="1" s="1"/>
  <c r="D307" i="1"/>
  <c r="D308" i="1" s="1"/>
  <c r="C307" i="1"/>
  <c r="C284" i="1"/>
  <c r="A281" i="1" s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C283" i="1" s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E280" i="1" s="1"/>
  <c r="D279" i="1"/>
  <c r="C279" i="1"/>
  <c r="C250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C249" i="1" s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E246" i="1" s="1"/>
  <c r="D245" i="1"/>
  <c r="D246" i="1" s="1"/>
  <c r="C245" i="1"/>
  <c r="C247" i="1" s="1"/>
  <c r="C216" i="1"/>
  <c r="A213" i="1" s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C215" i="1" s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E212" i="1" s="1"/>
  <c r="D211" i="1"/>
  <c r="C211" i="1"/>
  <c r="C213" i="1" s="1"/>
  <c r="C182" i="1"/>
  <c r="A179" i="1" s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R177" i="1"/>
  <c r="Q177" i="1"/>
  <c r="P177" i="1"/>
  <c r="O177" i="1"/>
  <c r="N177" i="1"/>
  <c r="M177" i="1"/>
  <c r="L177" i="1"/>
  <c r="K177" i="1"/>
  <c r="J177" i="1"/>
  <c r="I177" i="1"/>
  <c r="H177" i="1"/>
  <c r="H178" i="1" s="1"/>
  <c r="G177" i="1"/>
  <c r="G178" i="1" s="1"/>
  <c r="F177" i="1"/>
  <c r="F178" i="1" s="1"/>
  <c r="E177" i="1"/>
  <c r="E178" i="1" s="1"/>
  <c r="D177" i="1"/>
  <c r="C177" i="1"/>
  <c r="C155" i="1"/>
  <c r="A152" i="1" s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F151" i="1" s="1"/>
  <c r="E150" i="1"/>
  <c r="E151" i="1" s="1"/>
  <c r="D150" i="1"/>
  <c r="D151" i="1" s="1"/>
  <c r="C150" i="1"/>
  <c r="C121" i="1"/>
  <c r="A118" i="1" s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G117" i="1" s="1"/>
  <c r="F116" i="1"/>
  <c r="E116" i="1"/>
  <c r="D116" i="1"/>
  <c r="C116" i="1"/>
  <c r="C94" i="1"/>
  <c r="A91" i="1" s="1"/>
  <c r="R92" i="1"/>
  <c r="Q92" i="1"/>
  <c r="P92" i="1"/>
  <c r="O92" i="1"/>
  <c r="N92" i="1"/>
  <c r="M92" i="1"/>
  <c r="L92" i="1"/>
  <c r="K92" i="1"/>
  <c r="J92" i="1"/>
  <c r="I92" i="1"/>
  <c r="H92" i="1"/>
  <c r="G92" i="1"/>
  <c r="G93" i="1" s="1"/>
  <c r="F92" i="1"/>
  <c r="E92" i="1"/>
  <c r="D92" i="1"/>
  <c r="C92" i="1"/>
  <c r="C93" i="1" s="1"/>
  <c r="R89" i="1"/>
  <c r="Q89" i="1"/>
  <c r="Q91" i="1" s="1"/>
  <c r="P89" i="1"/>
  <c r="P91" i="1" s="1"/>
  <c r="O89" i="1"/>
  <c r="O91" i="1" s="1"/>
  <c r="N89" i="1"/>
  <c r="N91" i="1" s="1"/>
  <c r="M89" i="1"/>
  <c r="M91" i="1" s="1"/>
  <c r="L89" i="1"/>
  <c r="L91" i="1" s="1"/>
  <c r="K89" i="1"/>
  <c r="K91" i="1" s="1"/>
  <c r="J89" i="1"/>
  <c r="I89" i="1"/>
  <c r="I91" i="1" s="1"/>
  <c r="H89" i="1"/>
  <c r="H91" i="1" s="1"/>
  <c r="G89" i="1"/>
  <c r="G91" i="1" s="1"/>
  <c r="F89" i="1"/>
  <c r="F91" i="1" s="1"/>
  <c r="E89" i="1"/>
  <c r="E90" i="1" s="1"/>
  <c r="D89" i="1"/>
  <c r="D91" i="1" s="1"/>
  <c r="C89" i="1"/>
  <c r="C60" i="1"/>
  <c r="A57" i="1" s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C59" i="1" s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F56" i="1" s="1"/>
  <c r="E55" i="1"/>
  <c r="D55" i="1"/>
  <c r="C55" i="1"/>
  <c r="C33" i="1"/>
  <c r="A30" i="1" s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C32" i="1" s="1"/>
  <c r="R28" i="1"/>
  <c r="Q28" i="1"/>
  <c r="Q29" i="1" s="1"/>
  <c r="P28" i="1"/>
  <c r="P29" i="1" s="1"/>
  <c r="O28" i="1"/>
  <c r="N28" i="1"/>
  <c r="M28" i="1"/>
  <c r="L28" i="1"/>
  <c r="K28" i="1"/>
  <c r="J28" i="1"/>
  <c r="I28" i="1"/>
  <c r="H28" i="1"/>
  <c r="G28" i="1"/>
  <c r="F28" i="1"/>
  <c r="E28" i="1"/>
  <c r="D28" i="1"/>
  <c r="D29" i="1" s="1"/>
  <c r="C28" i="1"/>
  <c r="C6" i="1"/>
  <c r="A2" i="1" s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R1" i="1"/>
  <c r="Q1" i="1"/>
  <c r="Q2" i="1" s="1"/>
  <c r="P1" i="1"/>
  <c r="O1" i="1"/>
  <c r="N1" i="1"/>
  <c r="N2" i="1" s="1"/>
  <c r="M1" i="1"/>
  <c r="L1" i="1"/>
  <c r="K1" i="1"/>
  <c r="K2" i="1" s="1"/>
  <c r="J1" i="1"/>
  <c r="J2" i="1" s="1"/>
  <c r="I1" i="1"/>
  <c r="H1" i="1"/>
  <c r="H2" i="1" s="1"/>
  <c r="G1" i="1"/>
  <c r="F1" i="1"/>
  <c r="E1" i="1"/>
  <c r="D1" i="1"/>
  <c r="C1" i="1"/>
  <c r="C2" i="1" s="1"/>
  <c r="C3" i="1" s="1"/>
  <c r="I213" i="1" l="1"/>
  <c r="R91" i="1"/>
  <c r="J91" i="1"/>
  <c r="F213" i="1"/>
  <c r="G213" i="1"/>
  <c r="Q3" i="1"/>
  <c r="R5" i="1"/>
  <c r="G5" i="1"/>
  <c r="C5" i="1"/>
  <c r="H3" i="1"/>
  <c r="H5" i="1"/>
  <c r="I5" i="1"/>
  <c r="J3" i="1"/>
  <c r="J5" i="1"/>
  <c r="K3" i="1"/>
  <c r="K5" i="1"/>
  <c r="L5" i="1"/>
  <c r="M5" i="1"/>
  <c r="N3" i="1"/>
  <c r="K93" i="1"/>
  <c r="R59" i="1"/>
  <c r="E215" i="1"/>
  <c r="G215" i="1"/>
  <c r="D249" i="1"/>
  <c r="F247" i="1"/>
  <c r="F249" i="1"/>
  <c r="N5" i="1"/>
  <c r="O5" i="1"/>
  <c r="H213" i="1"/>
  <c r="H215" i="1"/>
  <c r="P5" i="1"/>
  <c r="I215" i="1"/>
  <c r="Q5" i="1"/>
  <c r="D5" i="1"/>
  <c r="M213" i="1"/>
  <c r="E5" i="1"/>
  <c r="N213" i="1"/>
  <c r="F5" i="1"/>
  <c r="E32" i="1"/>
  <c r="D59" i="1"/>
  <c r="D32" i="1"/>
  <c r="F32" i="1"/>
  <c r="E59" i="1"/>
  <c r="G32" i="1"/>
  <c r="F57" i="1"/>
  <c r="F59" i="1"/>
  <c r="H32" i="1"/>
  <c r="G59" i="1"/>
  <c r="H59" i="1"/>
  <c r="I32" i="1"/>
  <c r="J32" i="1"/>
  <c r="D215" i="1"/>
  <c r="K32" i="1"/>
  <c r="J59" i="1"/>
  <c r="L32" i="1"/>
  <c r="K59" i="1"/>
  <c r="F215" i="1"/>
  <c r="M32" i="1"/>
  <c r="L59" i="1"/>
  <c r="N32" i="1"/>
  <c r="M59" i="1"/>
  <c r="O32" i="1"/>
  <c r="N59" i="1"/>
  <c r="P30" i="1"/>
  <c r="P32" i="1"/>
  <c r="J213" i="1"/>
  <c r="J215" i="1"/>
  <c r="D30" i="1"/>
  <c r="Q30" i="1"/>
  <c r="Q32" i="1"/>
  <c r="K213" i="1"/>
  <c r="R32" i="1"/>
  <c r="L213" i="1"/>
  <c r="C311" i="1"/>
  <c r="F309" i="1"/>
  <c r="F311" i="1"/>
  <c r="D311" i="1"/>
  <c r="G311" i="1"/>
  <c r="H309" i="1"/>
  <c r="I309" i="1"/>
  <c r="L309" i="1"/>
  <c r="D309" i="1"/>
  <c r="Q309" i="1"/>
  <c r="R309" i="1"/>
  <c r="G309" i="1"/>
  <c r="E311" i="1"/>
  <c r="J309" i="1"/>
  <c r="H311" i="1"/>
  <c r="K309" i="1"/>
  <c r="I311" i="1"/>
  <c r="J311" i="1"/>
  <c r="M309" i="1"/>
  <c r="N309" i="1"/>
  <c r="L311" i="1"/>
  <c r="O309" i="1"/>
  <c r="P309" i="1"/>
  <c r="N311" i="1"/>
  <c r="C309" i="1"/>
  <c r="A309" i="1"/>
  <c r="K311" i="1"/>
  <c r="M311" i="1"/>
  <c r="O311" i="1"/>
  <c r="P311" i="1"/>
  <c r="Q311" i="1"/>
  <c r="R311" i="1"/>
  <c r="F308" i="1"/>
  <c r="E309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C308" i="1"/>
  <c r="D283" i="1"/>
  <c r="F281" i="1"/>
  <c r="E283" i="1"/>
  <c r="G281" i="1"/>
  <c r="F283" i="1"/>
  <c r="H281" i="1"/>
  <c r="G283" i="1"/>
  <c r="I281" i="1"/>
  <c r="H283" i="1"/>
  <c r="J281" i="1"/>
  <c r="I283" i="1"/>
  <c r="K281" i="1"/>
  <c r="J283" i="1"/>
  <c r="L281" i="1"/>
  <c r="K283" i="1"/>
  <c r="M281" i="1"/>
  <c r="L283" i="1"/>
  <c r="N281" i="1"/>
  <c r="O281" i="1"/>
  <c r="C281" i="1"/>
  <c r="R283" i="1"/>
  <c r="M283" i="1"/>
  <c r="N283" i="1"/>
  <c r="P281" i="1"/>
  <c r="O283" i="1"/>
  <c r="Q281" i="1"/>
  <c r="P283" i="1"/>
  <c r="R281" i="1"/>
  <c r="Q283" i="1"/>
  <c r="D280" i="1"/>
  <c r="D281" i="1"/>
  <c r="F280" i="1"/>
  <c r="E281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C280" i="1"/>
  <c r="D247" i="1"/>
  <c r="P247" i="1"/>
  <c r="E249" i="1"/>
  <c r="G247" i="1"/>
  <c r="G249" i="1"/>
  <c r="H247" i="1"/>
  <c r="H249" i="1"/>
  <c r="I247" i="1"/>
  <c r="I249" i="1"/>
  <c r="J247" i="1"/>
  <c r="J249" i="1"/>
  <c r="K247" i="1"/>
  <c r="K249" i="1"/>
  <c r="L247" i="1"/>
  <c r="L249" i="1"/>
  <c r="M247" i="1"/>
  <c r="M249" i="1"/>
  <c r="N247" i="1"/>
  <c r="N249" i="1"/>
  <c r="O247" i="1"/>
  <c r="R247" i="1"/>
  <c r="Q247" i="1"/>
  <c r="P249" i="1"/>
  <c r="A247" i="1"/>
  <c r="O249" i="1"/>
  <c r="Q249" i="1"/>
  <c r="R249" i="1"/>
  <c r="F246" i="1"/>
  <c r="E247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C246" i="1"/>
  <c r="N215" i="1"/>
  <c r="O213" i="1"/>
  <c r="P213" i="1"/>
  <c r="K215" i="1"/>
  <c r="L215" i="1"/>
  <c r="M215" i="1"/>
  <c r="O215" i="1"/>
  <c r="Q213" i="1"/>
  <c r="R213" i="1"/>
  <c r="P215" i="1"/>
  <c r="Q215" i="1"/>
  <c r="R215" i="1"/>
  <c r="D212" i="1"/>
  <c r="D213" i="1"/>
  <c r="F212" i="1"/>
  <c r="E213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C212" i="1"/>
  <c r="C179" i="1"/>
  <c r="E181" i="1"/>
  <c r="C181" i="1"/>
  <c r="D181" i="1"/>
  <c r="F181" i="1"/>
  <c r="I179" i="1"/>
  <c r="J179" i="1"/>
  <c r="K179" i="1"/>
  <c r="K181" i="1"/>
  <c r="M179" i="1"/>
  <c r="O179" i="1"/>
  <c r="N179" i="1"/>
  <c r="L179" i="1"/>
  <c r="P179" i="1"/>
  <c r="Q179" i="1"/>
  <c r="R179" i="1"/>
  <c r="E93" i="1"/>
  <c r="L93" i="1"/>
  <c r="J93" i="1"/>
  <c r="D93" i="1"/>
  <c r="G181" i="1"/>
  <c r="O181" i="1"/>
  <c r="I59" i="1"/>
  <c r="O59" i="1"/>
  <c r="P59" i="1"/>
  <c r="Q59" i="1"/>
  <c r="I93" i="1"/>
  <c r="H181" i="1"/>
  <c r="I181" i="1"/>
  <c r="N93" i="1"/>
  <c r="J181" i="1"/>
  <c r="O93" i="1"/>
  <c r="P93" i="1"/>
  <c r="L181" i="1"/>
  <c r="Q93" i="1"/>
  <c r="M181" i="1"/>
  <c r="N181" i="1"/>
  <c r="P181" i="1"/>
  <c r="Q181" i="1"/>
  <c r="F93" i="1"/>
  <c r="R181" i="1"/>
  <c r="D178" i="1"/>
  <c r="E179" i="1"/>
  <c r="D179" i="1"/>
  <c r="I178" i="1"/>
  <c r="H179" i="1"/>
  <c r="J178" i="1"/>
  <c r="K178" i="1"/>
  <c r="L178" i="1"/>
  <c r="G179" i="1"/>
  <c r="M178" i="1"/>
  <c r="N178" i="1"/>
  <c r="F179" i="1"/>
  <c r="O178" i="1"/>
  <c r="P178" i="1"/>
  <c r="Q178" i="1"/>
  <c r="R178" i="1"/>
  <c r="C178" i="1"/>
  <c r="E154" i="1"/>
  <c r="G152" i="1"/>
  <c r="F154" i="1"/>
  <c r="C154" i="1"/>
  <c r="G154" i="1"/>
  <c r="H152" i="1"/>
  <c r="I152" i="1"/>
  <c r="H154" i="1"/>
  <c r="D154" i="1"/>
  <c r="J152" i="1"/>
  <c r="I154" i="1"/>
  <c r="K152" i="1"/>
  <c r="J154" i="1"/>
  <c r="L152" i="1"/>
  <c r="K154" i="1"/>
  <c r="M152" i="1"/>
  <c r="L154" i="1"/>
  <c r="N152" i="1"/>
  <c r="M154" i="1"/>
  <c r="O152" i="1"/>
  <c r="P152" i="1"/>
  <c r="Q152" i="1"/>
  <c r="C152" i="1"/>
  <c r="D152" i="1"/>
  <c r="N154" i="1"/>
  <c r="O154" i="1"/>
  <c r="R152" i="1"/>
  <c r="R154" i="1"/>
  <c r="P154" i="1"/>
  <c r="Q154" i="1"/>
  <c r="G151" i="1"/>
  <c r="F152" i="1"/>
  <c r="H151" i="1"/>
  <c r="E152" i="1"/>
  <c r="I151" i="1"/>
  <c r="J151" i="1"/>
  <c r="K151" i="1"/>
  <c r="L151" i="1"/>
  <c r="M151" i="1"/>
  <c r="N151" i="1"/>
  <c r="O151" i="1"/>
  <c r="P151" i="1"/>
  <c r="Q151" i="1"/>
  <c r="R151" i="1"/>
  <c r="C151" i="1"/>
  <c r="G120" i="1"/>
  <c r="F118" i="1"/>
  <c r="F120" i="1"/>
  <c r="E120" i="1"/>
  <c r="D120" i="1"/>
  <c r="O118" i="1"/>
  <c r="O120" i="1"/>
  <c r="C120" i="1"/>
  <c r="P118" i="1"/>
  <c r="C118" i="1"/>
  <c r="E118" i="1"/>
  <c r="H120" i="1"/>
  <c r="I118" i="1"/>
  <c r="I120" i="1"/>
  <c r="H118" i="1"/>
  <c r="J118" i="1"/>
  <c r="J120" i="1"/>
  <c r="K118" i="1"/>
  <c r="K120" i="1"/>
  <c r="L120" i="1"/>
  <c r="M118" i="1"/>
  <c r="M120" i="1"/>
  <c r="L118" i="1"/>
  <c r="N118" i="1"/>
  <c r="N120" i="1"/>
  <c r="P120" i="1"/>
  <c r="Q118" i="1"/>
  <c r="R118" i="1"/>
  <c r="Q120" i="1"/>
  <c r="D117" i="1"/>
  <c r="D118" i="1"/>
  <c r="R120" i="1"/>
  <c r="H117" i="1"/>
  <c r="G118" i="1"/>
  <c r="I117" i="1"/>
  <c r="J117" i="1"/>
  <c r="F117" i="1"/>
  <c r="K117" i="1"/>
  <c r="L117" i="1"/>
  <c r="M117" i="1"/>
  <c r="N117" i="1"/>
  <c r="O117" i="1"/>
  <c r="P117" i="1"/>
  <c r="Q117" i="1"/>
  <c r="E117" i="1"/>
  <c r="R117" i="1"/>
  <c r="C117" i="1"/>
  <c r="R93" i="1"/>
  <c r="E91" i="1"/>
  <c r="H93" i="1"/>
  <c r="M93" i="1"/>
  <c r="D90" i="1"/>
  <c r="C91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C90" i="1"/>
  <c r="D56" i="1"/>
  <c r="D57" i="1" s="1"/>
  <c r="E56" i="1"/>
  <c r="E57" i="1" s="1"/>
  <c r="G56" i="1"/>
  <c r="G57" i="1" s="1"/>
  <c r="H56" i="1"/>
  <c r="H57" i="1" s="1"/>
  <c r="I56" i="1"/>
  <c r="I57" i="1" s="1"/>
  <c r="J56" i="1"/>
  <c r="J57" i="1" s="1"/>
  <c r="K56" i="1"/>
  <c r="K57" i="1" s="1"/>
  <c r="L56" i="1"/>
  <c r="L57" i="1" s="1"/>
  <c r="M56" i="1"/>
  <c r="M57" i="1" s="1"/>
  <c r="N56" i="1"/>
  <c r="N57" i="1" s="1"/>
  <c r="O56" i="1"/>
  <c r="O57" i="1" s="1"/>
  <c r="P56" i="1"/>
  <c r="P57" i="1" s="1"/>
  <c r="Q56" i="1"/>
  <c r="Q57" i="1" s="1"/>
  <c r="R56" i="1"/>
  <c r="R57" i="1" s="1"/>
  <c r="C56" i="1"/>
  <c r="C57" i="1" s="1"/>
  <c r="E29" i="1"/>
  <c r="E30" i="1" s="1"/>
  <c r="F29" i="1"/>
  <c r="F30" i="1" s="1"/>
  <c r="G29" i="1"/>
  <c r="G30" i="1" s="1"/>
  <c r="H29" i="1"/>
  <c r="H30" i="1" s="1"/>
  <c r="I29" i="1"/>
  <c r="I30" i="1" s="1"/>
  <c r="J29" i="1"/>
  <c r="J30" i="1" s="1"/>
  <c r="K29" i="1"/>
  <c r="K30" i="1" s="1"/>
  <c r="L29" i="1"/>
  <c r="L30" i="1" s="1"/>
  <c r="M29" i="1"/>
  <c r="M30" i="1" s="1"/>
  <c r="N29" i="1"/>
  <c r="N30" i="1" s="1"/>
  <c r="O29" i="1"/>
  <c r="O30" i="1" s="1"/>
  <c r="R29" i="1"/>
  <c r="R30" i="1" s="1"/>
  <c r="C29" i="1"/>
  <c r="C30" i="1" s="1"/>
  <c r="D2" i="1"/>
  <c r="D3" i="1" s="1"/>
  <c r="L2" i="1"/>
  <c r="L3" i="1" s="1"/>
  <c r="R2" i="1"/>
  <c r="R3" i="1" s="1"/>
  <c r="I2" i="1"/>
  <c r="I3" i="1" s="1"/>
  <c r="E2" i="1"/>
  <c r="E3" i="1" s="1"/>
  <c r="F2" i="1"/>
  <c r="F3" i="1" s="1"/>
  <c r="G2" i="1"/>
  <c r="G3" i="1" s="1"/>
  <c r="M2" i="1"/>
  <c r="M3" i="1" s="1"/>
  <c r="O2" i="1"/>
  <c r="O3" i="1" s="1"/>
  <c r="P2" i="1"/>
  <c r="P3" i="1" s="1"/>
</calcChain>
</file>

<file path=xl/sharedStrings.xml><?xml version="1.0" encoding="utf-8"?>
<sst xmlns="http://schemas.openxmlformats.org/spreadsheetml/2006/main" count="1595" uniqueCount="435">
  <si>
    <t>Réf logt</t>
  </si>
  <si>
    <t>Réf rapport</t>
  </si>
  <si>
    <t>mur</t>
  </si>
  <si>
    <t>plafond</t>
  </si>
  <si>
    <t>sol</t>
  </si>
  <si>
    <t>autre</t>
  </si>
  <si>
    <t>A</t>
  </si>
  <si>
    <t>Total logt</t>
  </si>
  <si>
    <t>qté logt testé</t>
  </si>
  <si>
    <t>% logt testé</t>
  </si>
  <si>
    <t>Testé positif</t>
  </si>
  <si>
    <t>% sur logt testé</t>
  </si>
  <si>
    <t>% sur tot logt</t>
  </si>
  <si>
    <t>SDB</t>
  </si>
  <si>
    <t>WC</t>
  </si>
  <si>
    <t>CUISINE</t>
  </si>
  <si>
    <t>1109-L0065</t>
  </si>
  <si>
    <t>1109-L0066</t>
  </si>
  <si>
    <t>1109-L0067</t>
  </si>
  <si>
    <t>1109-L0068</t>
  </si>
  <si>
    <t>1109-L0069</t>
  </si>
  <si>
    <t>1109-L0070</t>
  </si>
  <si>
    <t>1109-L0071</t>
  </si>
  <si>
    <t>1109-L0072</t>
  </si>
  <si>
    <t>AAT-595-BAT-1109L-BAT-D_v1</t>
  </si>
  <si>
    <t>Bâtiment D</t>
  </si>
  <si>
    <t>1109-L0073</t>
  </si>
  <si>
    <t>1109-L0074</t>
  </si>
  <si>
    <t>1109-L0075</t>
  </si>
  <si>
    <t>1109-L0076</t>
  </si>
  <si>
    <t>1109-L0077</t>
  </si>
  <si>
    <t>1109-L0078</t>
  </si>
  <si>
    <t>1109-L0079</t>
  </si>
  <si>
    <t>1109-L0080</t>
  </si>
  <si>
    <t>colle
faience</t>
  </si>
  <si>
    <t>Bâtiment J</t>
  </si>
  <si>
    <t>1109-L0097</t>
  </si>
  <si>
    <t>1109-L0098</t>
  </si>
  <si>
    <t>1109-L0099</t>
  </si>
  <si>
    <t>1109-L0100</t>
  </si>
  <si>
    <t>1109-L0101</t>
  </si>
  <si>
    <t>1109-L0102</t>
  </si>
  <si>
    <t>1109-L0103</t>
  </si>
  <si>
    <t>1109-L0104</t>
  </si>
  <si>
    <t>1109-L0105</t>
  </si>
  <si>
    <t>1109-L0106</t>
  </si>
  <si>
    <t>1109-L0107</t>
  </si>
  <si>
    <t>1109-L0108</t>
  </si>
  <si>
    <t>1109-L0109</t>
  </si>
  <si>
    <t>1109-L0110</t>
  </si>
  <si>
    <t>1109-L0111</t>
  </si>
  <si>
    <t>1109-L0112</t>
  </si>
  <si>
    <t>Pourcentage logt testé :</t>
  </si>
  <si>
    <t>1109L-0328</t>
  </si>
  <si>
    <t>1109L-0329</t>
  </si>
  <si>
    <t>1109L-0330</t>
  </si>
  <si>
    <t>1109L-0331</t>
  </si>
  <si>
    <t>1109L-0332</t>
  </si>
  <si>
    <t>1109L-0333</t>
  </si>
  <si>
    <t>1109L-0334</t>
  </si>
  <si>
    <t>1109L-0335</t>
  </si>
  <si>
    <t>1109L-0336</t>
  </si>
  <si>
    <t>1109L-0337</t>
  </si>
  <si>
    <t>1109L-0338</t>
  </si>
  <si>
    <t>1109L-0339</t>
  </si>
  <si>
    <t>1109L-0340</t>
  </si>
  <si>
    <t>1109L-0341</t>
  </si>
  <si>
    <t>1109L-0342</t>
  </si>
  <si>
    <t>1109L-0343</t>
  </si>
  <si>
    <t>1109L-0344</t>
  </si>
  <si>
    <t>Bâtiment A</t>
  </si>
  <si>
    <t>Réf. Bât</t>
  </si>
  <si>
    <t>Adresse</t>
  </si>
  <si>
    <t>2-4 rue Corot</t>
  </si>
  <si>
    <t>Légende :</t>
  </si>
  <si>
    <t>amiante</t>
  </si>
  <si>
    <t>vide</t>
  </si>
  <si>
    <t>pas de test</t>
  </si>
  <si>
    <t>testé sans amiante</t>
  </si>
  <si>
    <t>RAAT-595-BAT-1109L-BAT-A_v1</t>
  </si>
  <si>
    <t>x</t>
  </si>
  <si>
    <t>X</t>
  </si>
  <si>
    <t>non accessible</t>
  </si>
  <si>
    <t>résiliant
baignoire</t>
  </si>
  <si>
    <t>résiliant
evier</t>
  </si>
  <si>
    <t>douche</t>
  </si>
  <si>
    <t>Présence loge à RDC</t>
  </si>
  <si>
    <t>1109L-0313</t>
  </si>
  <si>
    <t>1109L-0314</t>
  </si>
  <si>
    <t>1109L-0315</t>
  </si>
  <si>
    <t>1109L-0316</t>
  </si>
  <si>
    <t>1109L-0317</t>
  </si>
  <si>
    <t>1109L-0318</t>
  </si>
  <si>
    <t>1109L-0319</t>
  </si>
  <si>
    <t>1109L-0320</t>
  </si>
  <si>
    <t>1109L-0321</t>
  </si>
  <si>
    <t>1109L-0322</t>
  </si>
  <si>
    <t>1109L-0323</t>
  </si>
  <si>
    <t>1109L-0324</t>
  </si>
  <si>
    <t>1109L-0325</t>
  </si>
  <si>
    <t>1109L-0326</t>
  </si>
  <si>
    <t>1109L-0327</t>
  </si>
  <si>
    <t>numérotation ?</t>
  </si>
  <si>
    <t>RAAT-595-BAT-1109L-BAT-B_v1</t>
  </si>
  <si>
    <t>ABS</t>
  </si>
  <si>
    <t>6-8 rue Corot</t>
  </si>
  <si>
    <t>Bâtiment C</t>
  </si>
  <si>
    <t>Bâtiment B</t>
  </si>
  <si>
    <t>1-3-5 rue Delacroix</t>
  </si>
  <si>
    <t>1109L-0289</t>
  </si>
  <si>
    <t>1109L-0290</t>
  </si>
  <si>
    <t>1109L-0291</t>
  </si>
  <si>
    <t>1109L-0292</t>
  </si>
  <si>
    <t>1109L-0293</t>
  </si>
  <si>
    <t>1109L-0294</t>
  </si>
  <si>
    <t>1109L-0295</t>
  </si>
  <si>
    <t>1109L-0296</t>
  </si>
  <si>
    <t>1109L-0297</t>
  </si>
  <si>
    <t>1109L-0298</t>
  </si>
  <si>
    <t>1109L-0299</t>
  </si>
  <si>
    <t>1109L-0300</t>
  </si>
  <si>
    <t>1109L-0301</t>
  </si>
  <si>
    <t>1109L-0302</t>
  </si>
  <si>
    <t>1109L-0303</t>
  </si>
  <si>
    <t>1109L-0304</t>
  </si>
  <si>
    <t>1109L-0305</t>
  </si>
  <si>
    <t>1109L-0306</t>
  </si>
  <si>
    <t>1109L-0307</t>
  </si>
  <si>
    <t>1109L-0308</t>
  </si>
  <si>
    <t>1109L-0309</t>
  </si>
  <si>
    <t>1109L-0310</t>
  </si>
  <si>
    <t>1109L-0311</t>
  </si>
  <si>
    <t>1109L-0312</t>
  </si>
  <si>
    <t>RAAT-595-BAT-1109L-BAT-C_v1</t>
  </si>
  <si>
    <t>XX</t>
  </si>
  <si>
    <t>refus locataire</t>
  </si>
  <si>
    <t>2-4 rue Delacroix</t>
  </si>
  <si>
    <t>Bâtiment E</t>
  </si>
  <si>
    <t>56-58-60 ue Gravigny</t>
  </si>
  <si>
    <t>1109-L0001</t>
  </si>
  <si>
    <t>1109-L0002</t>
  </si>
  <si>
    <t>1109-L0003</t>
  </si>
  <si>
    <t>1109-L0004</t>
  </si>
  <si>
    <t>1109-L0005</t>
  </si>
  <si>
    <t>1109-L0006</t>
  </si>
  <si>
    <t>1109-L0007</t>
  </si>
  <si>
    <t>1109-L0008</t>
  </si>
  <si>
    <t>1109-L0009</t>
  </si>
  <si>
    <t>1109-L0010</t>
  </si>
  <si>
    <t>1109-L0011</t>
  </si>
  <si>
    <t>1109-L0012</t>
  </si>
  <si>
    <t>1109-L0013</t>
  </si>
  <si>
    <t>1109-L0014</t>
  </si>
  <si>
    <t>1109-L0015</t>
  </si>
  <si>
    <t>1109-L0016</t>
  </si>
  <si>
    <t>1109-L0017</t>
  </si>
  <si>
    <t>1109-L0018</t>
  </si>
  <si>
    <t>1109-L0019</t>
  </si>
  <si>
    <t>1109-L0020</t>
  </si>
  <si>
    <t>1109-L0021</t>
  </si>
  <si>
    <t>1109-L0022</t>
  </si>
  <si>
    <t>RAAT-595-BAT-1109L-BAT-E_v1</t>
  </si>
  <si>
    <t>1109-L0023</t>
  </si>
  <si>
    <t>1109-L0024</t>
  </si>
  <si>
    <t>Bâtiment F</t>
  </si>
  <si>
    <t>1109-L0025</t>
  </si>
  <si>
    <t>1109-L0026</t>
  </si>
  <si>
    <t>1109-L0027</t>
  </si>
  <si>
    <t>1109-L0028</t>
  </si>
  <si>
    <t>1109-L0029</t>
  </si>
  <si>
    <t>1109-L0030</t>
  </si>
  <si>
    <t>1109-L0031</t>
  </si>
  <si>
    <t>1109-L0032</t>
  </si>
  <si>
    <t>1109-L0033</t>
  </si>
  <si>
    <t>1109-L0034</t>
  </si>
  <si>
    <t>1109-L0035</t>
  </si>
  <si>
    <t>1109-L0036</t>
  </si>
  <si>
    <t>1109-L0037</t>
  </si>
  <si>
    <t>1109-L0038</t>
  </si>
  <si>
    <t>1109-L0039</t>
  </si>
  <si>
    <t>1109-L0040</t>
  </si>
  <si>
    <t>Bâtiment G</t>
  </si>
  <si>
    <t>1-3-5 rue Rodin</t>
  </si>
  <si>
    <t>1109-L0041</t>
  </si>
  <si>
    <t>1109-L0042</t>
  </si>
  <si>
    <t>1109-L0043</t>
  </si>
  <si>
    <t>1109-L0044</t>
  </si>
  <si>
    <t>1109-L0045</t>
  </si>
  <si>
    <t>1109-L0046</t>
  </si>
  <si>
    <t>1109-L0047</t>
  </si>
  <si>
    <t>1109-L0048</t>
  </si>
  <si>
    <t>1109-L0049</t>
  </si>
  <si>
    <t>1109-L0050</t>
  </si>
  <si>
    <t>1109-L0051</t>
  </si>
  <si>
    <t>1109-L0052</t>
  </si>
  <si>
    <t>1109-L0053</t>
  </si>
  <si>
    <t>1109-L0054</t>
  </si>
  <si>
    <t>1109-L0055</t>
  </si>
  <si>
    <t>1109-L0056</t>
  </si>
  <si>
    <t>1109-L0057</t>
  </si>
  <si>
    <t>1109-L0058</t>
  </si>
  <si>
    <t>1109-L0059</t>
  </si>
  <si>
    <t>1109-L0060</t>
  </si>
  <si>
    <t>1109-L0061</t>
  </si>
  <si>
    <t>1109-L0062</t>
  </si>
  <si>
    <t>1109-L0063</t>
  </si>
  <si>
    <t>1109-L0064</t>
  </si>
  <si>
    <t>52-54 rue de Gravigny</t>
  </si>
  <si>
    <t>Bâtiment H</t>
  </si>
  <si>
    <t>7-9-11 rue Rodin</t>
  </si>
  <si>
    <t>1109-L0113</t>
  </si>
  <si>
    <t>1109-L0114</t>
  </si>
  <si>
    <t>1109-L0115</t>
  </si>
  <si>
    <t>1109-L0116</t>
  </si>
  <si>
    <t>1109-L0117</t>
  </si>
  <si>
    <t>1109-L0118</t>
  </si>
  <si>
    <t>1109-L0119</t>
  </si>
  <si>
    <t>1109-L0120</t>
  </si>
  <si>
    <t>1109-L0121</t>
  </si>
  <si>
    <t>1109-L0122</t>
  </si>
  <si>
    <t>1109-L0123</t>
  </si>
  <si>
    <t>1109-L0124</t>
  </si>
  <si>
    <t>1109-L0125</t>
  </si>
  <si>
    <t>1109-L0126</t>
  </si>
  <si>
    <t>1109-L0127</t>
  </si>
  <si>
    <t>1109-L0128</t>
  </si>
  <si>
    <t>1109-L0129</t>
  </si>
  <si>
    <t>1109-L0130</t>
  </si>
  <si>
    <t>1109-L0131</t>
  </si>
  <si>
    <t>1109-L0132</t>
  </si>
  <si>
    <t>1109-L0133</t>
  </si>
  <si>
    <t>1109-L0134</t>
  </si>
  <si>
    <t>1109-L0135</t>
  </si>
  <si>
    <t>1109-L0136</t>
  </si>
  <si>
    <t>RAAT-595-BAT-1109L-BAT-H_v1</t>
  </si>
  <si>
    <t>récent</t>
  </si>
  <si>
    <t>13-15-17 rue Rodin</t>
  </si>
  <si>
    <t>Bâtiment I</t>
  </si>
  <si>
    <t>1109-L0137</t>
  </si>
  <si>
    <t>1109-L0138</t>
  </si>
  <si>
    <t>1109-L0139</t>
  </si>
  <si>
    <t>1109-L0140</t>
  </si>
  <si>
    <t>1109-L0141</t>
  </si>
  <si>
    <t>1109-L0142</t>
  </si>
  <si>
    <t>1109-L0143</t>
  </si>
  <si>
    <t>1109-L0144</t>
  </si>
  <si>
    <t>1109-L0145</t>
  </si>
  <si>
    <t>1109-L0146</t>
  </si>
  <si>
    <t>1109-L0147</t>
  </si>
  <si>
    <t>1109-L0148</t>
  </si>
  <si>
    <t>1109-L0149</t>
  </si>
  <si>
    <t>1109-L0150</t>
  </si>
  <si>
    <t>1109-L0151</t>
  </si>
  <si>
    <t>1109-L0152</t>
  </si>
  <si>
    <t>1109-L0153</t>
  </si>
  <si>
    <t>1109-L0154</t>
  </si>
  <si>
    <t>1109-L0155</t>
  </si>
  <si>
    <t>1109-L0156</t>
  </si>
  <si>
    <t>1109-L0157</t>
  </si>
  <si>
    <t>1109-L0158</t>
  </si>
  <si>
    <t>1109-L0159</t>
  </si>
  <si>
    <t>1109-L0160</t>
  </si>
  <si>
    <t>RAAT-595-BAT-1109L-BAT-I_v1</t>
  </si>
  <si>
    <t>2-4 rue Courbet</t>
  </si>
  <si>
    <t>sol non analysé ?</t>
  </si>
  <si>
    <t>Bâtiment K</t>
  </si>
  <si>
    <t>Bâtiment L</t>
  </si>
  <si>
    <t>6-8 rue Courbet</t>
  </si>
  <si>
    <t>1109-L0081</t>
  </si>
  <si>
    <t>1109-L0082</t>
  </si>
  <si>
    <t>1109-L0083</t>
  </si>
  <si>
    <t>1109-L0084</t>
  </si>
  <si>
    <t>1109-L0085</t>
  </si>
  <si>
    <t>1109-L0086</t>
  </si>
  <si>
    <t>1109-L0087</t>
  </si>
  <si>
    <t>1109-L0088</t>
  </si>
  <si>
    <t>1109-L0089</t>
  </si>
  <si>
    <t>1109-L0090</t>
  </si>
  <si>
    <t>1109-L0091</t>
  </si>
  <si>
    <t>1109-L0092</t>
  </si>
  <si>
    <t>1109-L0093</t>
  </si>
  <si>
    <t>1109-L0094</t>
  </si>
  <si>
    <t>1109-L0095</t>
  </si>
  <si>
    <t>1109-L0096</t>
  </si>
  <si>
    <t>2-4-6 place Cézanne</t>
  </si>
  <si>
    <t>RAAT-595-BAT-1109L-BAT-L_v1</t>
  </si>
  <si>
    <t>1109-L0161</t>
  </si>
  <si>
    <t>1109-L0162</t>
  </si>
  <si>
    <t>1109-L0163</t>
  </si>
  <si>
    <t>1109-L0164</t>
  </si>
  <si>
    <t>1109-L0165</t>
  </si>
  <si>
    <t>1109-L0166</t>
  </si>
  <si>
    <t>1109-L0167</t>
  </si>
  <si>
    <t>1109-L0168</t>
  </si>
  <si>
    <t>1109-L0169</t>
  </si>
  <si>
    <t>1109-L0170</t>
  </si>
  <si>
    <t>1109-L0171</t>
  </si>
  <si>
    <t>1109-L0172</t>
  </si>
  <si>
    <t>1109-L0173</t>
  </si>
  <si>
    <t>1109-L0174</t>
  </si>
  <si>
    <t>1109-L0175</t>
  </si>
  <si>
    <t>1109-L0176</t>
  </si>
  <si>
    <t>1109-L0177</t>
  </si>
  <si>
    <t>1109-L0178</t>
  </si>
  <si>
    <t>1109-L0179</t>
  </si>
  <si>
    <t>1109-L0180</t>
  </si>
  <si>
    <t>1109-L0181</t>
  </si>
  <si>
    <t>1109-L0182</t>
  </si>
  <si>
    <t>1109-L0183</t>
  </si>
  <si>
    <t>1109-L0184</t>
  </si>
  <si>
    <t>Bâtiment M</t>
  </si>
  <si>
    <t>7-9-8 place Cézanne</t>
  </si>
  <si>
    <t>RAAT-595-BAT-1109L-BAT-M_v1</t>
  </si>
  <si>
    <t>1109-L0185</t>
  </si>
  <si>
    <t>1109-L0186</t>
  </si>
  <si>
    <t>1109-L0187</t>
  </si>
  <si>
    <t>1109-L0188</t>
  </si>
  <si>
    <t>1109-L0189</t>
  </si>
  <si>
    <t>1109-L0190</t>
  </si>
  <si>
    <t>1109-L0191</t>
  </si>
  <si>
    <t>1109-L0192</t>
  </si>
  <si>
    <t>1109-L0193</t>
  </si>
  <si>
    <t>1109-L0194</t>
  </si>
  <si>
    <t>1109-L0195</t>
  </si>
  <si>
    <t>1109-L0196</t>
  </si>
  <si>
    <t>1109-L0197</t>
  </si>
  <si>
    <t>1109-L0198</t>
  </si>
  <si>
    <t>1109-L0199</t>
  </si>
  <si>
    <t>1109-L0200</t>
  </si>
  <si>
    <t>1109-L0201</t>
  </si>
  <si>
    <t>1109-L0202</t>
  </si>
  <si>
    <t>1109-L0203</t>
  </si>
  <si>
    <t>1109-L0204</t>
  </si>
  <si>
    <t>1109-L0205</t>
  </si>
  <si>
    <t>1109-L0206</t>
  </si>
  <si>
    <t>1109-L0207</t>
  </si>
  <si>
    <t>1109-L0208</t>
  </si>
  <si>
    <t>contradiction sur sol SDB</t>
  </si>
  <si>
    <t>faience cuisine non analysé</t>
  </si>
  <si>
    <t>Bâtiment N</t>
  </si>
  <si>
    <t>1-3-5 place Cézanne</t>
  </si>
  <si>
    <t>RAAT-595-BAT-1109L-BAT-N_v1</t>
  </si>
  <si>
    <t>1109-L0209</t>
  </si>
  <si>
    <t>1109-L0210</t>
  </si>
  <si>
    <t>1109-L0211</t>
  </si>
  <si>
    <t>1109-L0212</t>
  </si>
  <si>
    <t>1109-L0213</t>
  </si>
  <si>
    <t>1109-L0214</t>
  </si>
  <si>
    <t>1109-L0215</t>
  </si>
  <si>
    <t>1109-L0216</t>
  </si>
  <si>
    <t>1109-L0217</t>
  </si>
  <si>
    <t>1109-L0218</t>
  </si>
  <si>
    <t>1109-L0219</t>
  </si>
  <si>
    <t>1109-L0220</t>
  </si>
  <si>
    <t>1109-L0221</t>
  </si>
  <si>
    <t>1109-L0222</t>
  </si>
  <si>
    <t>1109-L0223</t>
  </si>
  <si>
    <t>1109-L0224</t>
  </si>
  <si>
    <t>1109-L0225</t>
  </si>
  <si>
    <t>1109-L0226</t>
  </si>
  <si>
    <t>1109-L0227</t>
  </si>
  <si>
    <t>1109-L0228</t>
  </si>
  <si>
    <t>1109-L0229</t>
  </si>
  <si>
    <t>1109-L0230</t>
  </si>
  <si>
    <t>1109-L0231</t>
  </si>
  <si>
    <t>1109-L0232</t>
  </si>
  <si>
    <t>Bâtiment O</t>
  </si>
  <si>
    <t>RAAT-595-BAT-1109L-BAT-O_v1</t>
  </si>
  <si>
    <t>6-8 rue Bourdelle</t>
  </si>
  <si>
    <t>1109-L0233</t>
  </si>
  <si>
    <t>1109-L0234</t>
  </si>
  <si>
    <t>1109-L0235</t>
  </si>
  <si>
    <t>1109-L0236</t>
  </si>
  <si>
    <t>1109-L0237</t>
  </si>
  <si>
    <t>1109-L0238</t>
  </si>
  <si>
    <t>1109-L0239</t>
  </si>
  <si>
    <t>1109-L0240</t>
  </si>
  <si>
    <t>1109-L0241</t>
  </si>
  <si>
    <t>1109-L0242</t>
  </si>
  <si>
    <t>1109-L0243</t>
  </si>
  <si>
    <t>1109-L0244</t>
  </si>
  <si>
    <t>1109-L0245</t>
  </si>
  <si>
    <t>1109-L0246</t>
  </si>
  <si>
    <t>1109-L0247</t>
  </si>
  <si>
    <t>1109-L0248</t>
  </si>
  <si>
    <t>1109-L0249</t>
  </si>
  <si>
    <t>1109-L0250</t>
  </si>
  <si>
    <t>1109-L0251</t>
  </si>
  <si>
    <t>1109-L0252</t>
  </si>
  <si>
    <t>1109-L0253</t>
  </si>
  <si>
    <t>1109-L0254</t>
  </si>
  <si>
    <t>1109-L0255</t>
  </si>
  <si>
    <t>1109-L0256</t>
  </si>
  <si>
    <t>Bâtiment P</t>
  </si>
  <si>
    <t>2-4 rue Bourdelle</t>
  </si>
  <si>
    <t>RAAT-595-BAT-1109L-BAT-P_v1</t>
  </si>
  <si>
    <t>1109-L0257</t>
  </si>
  <si>
    <t>1109-L0258</t>
  </si>
  <si>
    <t>1109-L0259</t>
  </si>
  <si>
    <t>1109-L0260</t>
  </si>
  <si>
    <t>1109-L0261</t>
  </si>
  <si>
    <t>1109-L0262</t>
  </si>
  <si>
    <t>1109-L0263</t>
  </si>
  <si>
    <t>1109-L0264</t>
  </si>
  <si>
    <t>1109-L0265</t>
  </si>
  <si>
    <t>1109-L0266</t>
  </si>
  <si>
    <t>Bâtiment Q</t>
  </si>
  <si>
    <t>RAAT-595-BAT-1109L-BAT-Q_v1</t>
  </si>
  <si>
    <t>1-3-5 rue Manet</t>
  </si>
  <si>
    <t>1109-L0267</t>
  </si>
  <si>
    <t>1109-L0268</t>
  </si>
  <si>
    <t>1109-L0269</t>
  </si>
  <si>
    <t>1109-L0270</t>
  </si>
  <si>
    <t>1109-L0271</t>
  </si>
  <si>
    <t>1109-L0272</t>
  </si>
  <si>
    <t>1109-L0273</t>
  </si>
  <si>
    <t>1109-L0274</t>
  </si>
  <si>
    <t>1109-L0275</t>
  </si>
  <si>
    <t>1109-L0276</t>
  </si>
  <si>
    <t>1109-L0277</t>
  </si>
  <si>
    <t>1109-L0278</t>
  </si>
  <si>
    <t>1109-L0279</t>
  </si>
  <si>
    <t>1109-L0280</t>
  </si>
  <si>
    <t>1109-L0281</t>
  </si>
  <si>
    <t>1109-L0282</t>
  </si>
  <si>
    <t>1109-L0283</t>
  </si>
  <si>
    <t>1109-L0284</t>
  </si>
  <si>
    <t>1109-L0285</t>
  </si>
  <si>
    <t>1109-L0286</t>
  </si>
  <si>
    <t>1109-L0287</t>
  </si>
  <si>
    <t>1109-L0288</t>
  </si>
  <si>
    <t>RAAT-595-BAT-1109L-BAT-E_v2</t>
  </si>
  <si>
    <t>RAAT-595-BAT-1109L-BAT-F_v2</t>
  </si>
  <si>
    <t>RAAT-595-BAT-1109L-BAT-G_v2</t>
  </si>
  <si>
    <t>AAT-595-BAT-1109L-BAT-D_v2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</si>
</sst>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9" fontId="0" fillId="0" borderId="4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2">
    <cellStyle name="Normal" xfId="0" builtinId="0"/>
    <cellStyle name="Pourcentage" xfId="1" builtinId="5"/>
  </cellStyles>
  <dxfs count="89"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64B0-D4F8-40C3-ADA7-787B0F6E7881}">
  <sheetPr>
    <pageSetUpPr fitToPage="1"/>
  </sheetPr>
  <dimension ref="A1:T537"/>
  <sheetViews>
    <sheetView tabSelected="1" view="pageBreakPreview" topLeftCell="A274" zoomScale="115" zoomScaleNormal="115" zoomScaleSheetLayoutView="115" workbookViewId="0">
      <selection activeCell="T295" sqref="T295"/>
    </sheetView>
  </sheetViews>
  <sheetFormatPr baseColWidth="10" defaultRowHeight="15" customHeight="1" x14ac:dyDescent="0.25"/>
  <cols>
    <col min="1" max="1" width="32.125" style="1" customWidth="1"/>
    <col min="2" max="2" width="18.5" style="1" customWidth="1"/>
    <col min="3" max="5" width="7.625" style="2" customWidth="1"/>
    <col min="6" max="6" width="9" style="2" customWidth="1"/>
    <col min="7" max="7" width="7.625" style="2" customWidth="1"/>
    <col min="8" max="8" width="7.625" style="1" customWidth="1"/>
    <col min="9" max="11" width="7.625" style="2" customWidth="1"/>
    <col min="12" max="12" width="9.875" style="2" customWidth="1"/>
    <col min="13" max="13" width="7.625" style="2" customWidth="1"/>
    <col min="14" max="14" width="7.625" style="1" customWidth="1"/>
    <col min="15" max="17" width="7.625" style="2" customWidth="1"/>
    <col min="18" max="18" width="7.625" style="1" customWidth="1"/>
    <col min="19" max="19" width="11" style="1"/>
    <col min="20" max="20" width="18.5" style="1" bestFit="1" customWidth="1"/>
    <col min="21" max="16384" width="11" style="1"/>
  </cols>
  <sheetData>
    <row r="1" spans="1:20" ht="15" customHeight="1" x14ac:dyDescent="0.25">
      <c r="A1" s="25" t="s">
        <v>52</v>
      </c>
      <c r="B1" s="3" t="s">
        <v>10</v>
      </c>
      <c r="C1" s="4">
        <f>COUNTIF(C9:C26,"A")</f>
        <v>0</v>
      </c>
      <c r="D1" s="5">
        <f t="shared" ref="D1:H1" si="0">COUNTIF(D9:D26,"A")</f>
        <v>0</v>
      </c>
      <c r="E1" s="5">
        <f t="shared" si="0"/>
        <v>1</v>
      </c>
      <c r="F1" s="5">
        <f t="shared" si="0"/>
        <v>16</v>
      </c>
      <c r="G1" s="5">
        <f t="shared" si="0"/>
        <v>0</v>
      </c>
      <c r="H1" s="5">
        <f t="shared" si="0"/>
        <v>0</v>
      </c>
      <c r="I1" s="5">
        <f>COUNTIF(I9:I26,"A")</f>
        <v>0</v>
      </c>
      <c r="J1" s="5">
        <f t="shared" ref="J1:N1" si="1">COUNTIF(J9:J26,"A")</f>
        <v>0</v>
      </c>
      <c r="K1" s="5">
        <f t="shared" si="1"/>
        <v>1</v>
      </c>
      <c r="L1" s="5">
        <f t="shared" si="1"/>
        <v>0</v>
      </c>
      <c r="M1" s="5">
        <f t="shared" si="1"/>
        <v>0</v>
      </c>
      <c r="N1" s="5">
        <f t="shared" si="1"/>
        <v>0</v>
      </c>
      <c r="O1" s="5">
        <f>COUNTIF(O9:O26,"A")</f>
        <v>0</v>
      </c>
      <c r="P1" s="5">
        <f t="shared" ref="P1:R1" si="2">COUNTIF(P9:P26,"A")</f>
        <v>0</v>
      </c>
      <c r="Q1" s="5">
        <f t="shared" si="2"/>
        <v>1</v>
      </c>
      <c r="R1" s="10">
        <f t="shared" si="2"/>
        <v>0</v>
      </c>
      <c r="S1" s="26" t="s">
        <v>74</v>
      </c>
    </row>
    <row r="2" spans="1:20" ht="15" customHeight="1" x14ac:dyDescent="0.25">
      <c r="A2" s="9">
        <f>COUNTA(A9:A26)/C6</f>
        <v>0.17647058823529413</v>
      </c>
      <c r="B2" s="3" t="s">
        <v>11</v>
      </c>
      <c r="C2" s="28">
        <f>C1/C4</f>
        <v>0</v>
      </c>
      <c r="D2" s="29">
        <f t="shared" ref="D2:H2" si="3">D1/D4</f>
        <v>0</v>
      </c>
      <c r="E2" s="29">
        <f t="shared" si="3"/>
        <v>0.33333333333333331</v>
      </c>
      <c r="F2" s="29">
        <f t="shared" si="3"/>
        <v>0.94117647058823528</v>
      </c>
      <c r="G2" s="29">
        <f t="shared" si="3"/>
        <v>0</v>
      </c>
      <c r="H2" s="29" t="e">
        <f t="shared" si="3"/>
        <v>#DIV/0!</v>
      </c>
      <c r="I2" s="29">
        <f>I1/I4</f>
        <v>0</v>
      </c>
      <c r="J2" s="29">
        <f t="shared" ref="J2:N2" si="4">J1/J4</f>
        <v>0</v>
      </c>
      <c r="K2" s="29">
        <f t="shared" si="4"/>
        <v>0.33333333333333331</v>
      </c>
      <c r="L2" s="29">
        <f t="shared" si="4"/>
        <v>0</v>
      </c>
      <c r="M2" s="29">
        <f t="shared" si="4"/>
        <v>0</v>
      </c>
      <c r="N2" s="29" t="e">
        <f t="shared" si="4"/>
        <v>#DIV/0!</v>
      </c>
      <c r="O2" s="29">
        <f>O1/O4</f>
        <v>0</v>
      </c>
      <c r="P2" s="29">
        <f t="shared" ref="P2:R2" si="5">P1/P4</f>
        <v>0</v>
      </c>
      <c r="Q2" s="29">
        <f t="shared" si="5"/>
        <v>0.33333333333333331</v>
      </c>
      <c r="R2" s="30" t="e">
        <f t="shared" si="5"/>
        <v>#DIV/0!</v>
      </c>
      <c r="S2" s="2" t="s">
        <v>6</v>
      </c>
      <c r="T2" s="1" t="s">
        <v>75</v>
      </c>
    </row>
    <row r="3" spans="1:20" ht="15" customHeight="1" x14ac:dyDescent="0.25">
      <c r="A3" s="24" t="s">
        <v>71</v>
      </c>
      <c r="B3" s="3" t="s">
        <v>12</v>
      </c>
      <c r="C3" s="28">
        <f>C2/$C6</f>
        <v>0</v>
      </c>
      <c r="D3" s="29">
        <f t="shared" ref="D3:R3" si="6">D2/$C6</f>
        <v>0</v>
      </c>
      <c r="E3" s="29">
        <f t="shared" si="6"/>
        <v>1.9607843137254902E-2</v>
      </c>
      <c r="F3" s="29">
        <f t="shared" si="6"/>
        <v>5.536332179930796E-2</v>
      </c>
      <c r="G3" s="29">
        <f t="shared" si="6"/>
        <v>0</v>
      </c>
      <c r="H3" s="29" t="e">
        <f t="shared" si="6"/>
        <v>#DIV/0!</v>
      </c>
      <c r="I3" s="29">
        <f t="shared" si="6"/>
        <v>0</v>
      </c>
      <c r="J3" s="29">
        <f t="shared" si="6"/>
        <v>0</v>
      </c>
      <c r="K3" s="29">
        <f t="shared" si="6"/>
        <v>1.9607843137254902E-2</v>
      </c>
      <c r="L3" s="29">
        <f t="shared" si="6"/>
        <v>0</v>
      </c>
      <c r="M3" s="29">
        <f t="shared" si="6"/>
        <v>0</v>
      </c>
      <c r="N3" s="29" t="e">
        <f t="shared" si="6"/>
        <v>#DIV/0!</v>
      </c>
      <c r="O3" s="29">
        <f t="shared" si="6"/>
        <v>0</v>
      </c>
      <c r="P3" s="29">
        <f t="shared" si="6"/>
        <v>0</v>
      </c>
      <c r="Q3" s="29">
        <f t="shared" si="6"/>
        <v>1.9607843137254902E-2</v>
      </c>
      <c r="R3" s="30" t="e">
        <f t="shared" si="6"/>
        <v>#DIV/0!</v>
      </c>
      <c r="S3" s="2" t="s">
        <v>76</v>
      </c>
      <c r="T3" s="1" t="s">
        <v>77</v>
      </c>
    </row>
    <row r="4" spans="1:20" ht="15" customHeight="1" x14ac:dyDescent="0.25">
      <c r="A4" s="33" t="s">
        <v>70</v>
      </c>
      <c r="B4" s="3" t="s">
        <v>8</v>
      </c>
      <c r="C4" s="6">
        <f>COUNTA(C9:C26)</f>
        <v>3</v>
      </c>
      <c r="D4" s="2">
        <f t="shared" ref="D4:H4" si="7">COUNTA(D9:D26)</f>
        <v>3</v>
      </c>
      <c r="E4" s="2">
        <f t="shared" si="7"/>
        <v>3</v>
      </c>
      <c r="F4" s="2">
        <f t="shared" si="7"/>
        <v>17</v>
      </c>
      <c r="G4" s="2">
        <f t="shared" si="7"/>
        <v>3</v>
      </c>
      <c r="H4" s="2">
        <f t="shared" si="7"/>
        <v>0</v>
      </c>
      <c r="I4" s="2">
        <f>COUNTA(I9:I26)</f>
        <v>3</v>
      </c>
      <c r="J4" s="2">
        <f t="shared" ref="J4:N4" si="8">COUNTA(J9:J26)</f>
        <v>3</v>
      </c>
      <c r="K4" s="2">
        <f t="shared" si="8"/>
        <v>3</v>
      </c>
      <c r="L4" s="2">
        <f t="shared" si="8"/>
        <v>3</v>
      </c>
      <c r="M4" s="2">
        <f t="shared" si="8"/>
        <v>3</v>
      </c>
      <c r="N4" s="2">
        <f t="shared" si="8"/>
        <v>0</v>
      </c>
      <c r="O4" s="2">
        <f>COUNTA(O9:O26)</f>
        <v>3</v>
      </c>
      <c r="P4" s="2">
        <f t="shared" ref="P4:R4" si="9">COUNTA(P9:P26)</f>
        <v>3</v>
      </c>
      <c r="Q4" s="2">
        <f t="shared" si="9"/>
        <v>3</v>
      </c>
      <c r="R4" s="11">
        <f t="shared" si="9"/>
        <v>0</v>
      </c>
      <c r="S4" s="2">
        <v>0</v>
      </c>
      <c r="T4" s="1" t="s">
        <v>78</v>
      </c>
    </row>
    <row r="5" spans="1:20" ht="15" customHeight="1" x14ac:dyDescent="0.25">
      <c r="A5" s="24" t="s">
        <v>72</v>
      </c>
      <c r="B5" s="3" t="s">
        <v>9</v>
      </c>
      <c r="C5" s="28">
        <f>C4/$C6</f>
        <v>0.17647058823529413</v>
      </c>
      <c r="D5" s="29">
        <f t="shared" ref="D5:R5" si="10">D4/$C6</f>
        <v>0.17647058823529413</v>
      </c>
      <c r="E5" s="29">
        <f t="shared" si="10"/>
        <v>0.17647058823529413</v>
      </c>
      <c r="F5" s="29">
        <f t="shared" si="10"/>
        <v>1</v>
      </c>
      <c r="G5" s="29">
        <f t="shared" si="10"/>
        <v>0.17647058823529413</v>
      </c>
      <c r="H5" s="29">
        <f t="shared" si="10"/>
        <v>0</v>
      </c>
      <c r="I5" s="29">
        <f t="shared" si="10"/>
        <v>0.17647058823529413</v>
      </c>
      <c r="J5" s="29">
        <f t="shared" si="10"/>
        <v>0.17647058823529413</v>
      </c>
      <c r="K5" s="29">
        <f t="shared" si="10"/>
        <v>0.17647058823529413</v>
      </c>
      <c r="L5" s="29">
        <f t="shared" si="10"/>
        <v>0.17647058823529413</v>
      </c>
      <c r="M5" s="29">
        <f t="shared" si="10"/>
        <v>0.17647058823529413</v>
      </c>
      <c r="N5" s="29">
        <f t="shared" si="10"/>
        <v>0</v>
      </c>
      <c r="O5" s="29">
        <f t="shared" si="10"/>
        <v>0.17647058823529413</v>
      </c>
      <c r="P5" s="29">
        <f t="shared" si="10"/>
        <v>0.17647058823529413</v>
      </c>
      <c r="Q5" s="29">
        <f t="shared" si="10"/>
        <v>0.17647058823529413</v>
      </c>
      <c r="R5" s="30">
        <f t="shared" si="10"/>
        <v>0</v>
      </c>
      <c r="S5" s="2" t="s">
        <v>81</v>
      </c>
      <c r="T5" s="1" t="s">
        <v>82</v>
      </c>
    </row>
    <row r="6" spans="1:20" ht="15" customHeight="1" thickBot="1" x14ac:dyDescent="0.3">
      <c r="A6" s="33" t="s">
        <v>73</v>
      </c>
      <c r="B6" s="3" t="s">
        <v>7</v>
      </c>
      <c r="C6" s="7">
        <f>COUNTA($B9:$B26)</f>
        <v>17</v>
      </c>
      <c r="D6" s="8"/>
      <c r="E6" s="8"/>
      <c r="F6" s="8"/>
      <c r="G6" s="8"/>
      <c r="H6" s="31"/>
      <c r="I6" s="8"/>
      <c r="J6" s="8"/>
      <c r="K6" s="8"/>
      <c r="L6" s="8"/>
      <c r="M6" s="8"/>
      <c r="N6" s="31"/>
      <c r="O6" s="8"/>
      <c r="P6" s="8"/>
      <c r="Q6" s="8"/>
      <c r="R6" s="18"/>
    </row>
    <row r="7" spans="1:20" ht="15" customHeight="1" thickBot="1" x14ac:dyDescent="0.3">
      <c r="A7" s="27" t="s">
        <v>86</v>
      </c>
      <c r="C7" s="35" t="s">
        <v>15</v>
      </c>
      <c r="D7" s="36"/>
      <c r="E7" s="36"/>
      <c r="F7" s="36"/>
      <c r="G7" s="36"/>
      <c r="H7" s="36"/>
      <c r="I7" s="36" t="s">
        <v>13</v>
      </c>
      <c r="J7" s="36"/>
      <c r="K7" s="36"/>
      <c r="L7" s="36"/>
      <c r="M7" s="36"/>
      <c r="N7" s="36"/>
      <c r="O7" s="36" t="s">
        <v>14</v>
      </c>
      <c r="P7" s="36"/>
      <c r="Q7" s="36"/>
      <c r="R7" s="37"/>
    </row>
    <row r="8" spans="1:20" ht="28" customHeight="1" thickBot="1" x14ac:dyDescent="0.3">
      <c r="A8" s="19" t="s">
        <v>1</v>
      </c>
      <c r="B8" s="20" t="s">
        <v>0</v>
      </c>
      <c r="C8" s="12" t="s">
        <v>2</v>
      </c>
      <c r="D8" s="13" t="s">
        <v>3</v>
      </c>
      <c r="E8" s="13" t="s">
        <v>4</v>
      </c>
      <c r="F8" s="21" t="s">
        <v>84</v>
      </c>
      <c r="G8" s="21" t="s">
        <v>34</v>
      </c>
      <c r="H8" s="13" t="s">
        <v>5</v>
      </c>
      <c r="I8" s="13" t="s">
        <v>2</v>
      </c>
      <c r="J8" s="13" t="s">
        <v>3</v>
      </c>
      <c r="K8" s="13" t="s">
        <v>4</v>
      </c>
      <c r="L8" s="21" t="s">
        <v>83</v>
      </c>
      <c r="M8" s="21" t="s">
        <v>34</v>
      </c>
      <c r="N8" s="13" t="s">
        <v>5</v>
      </c>
      <c r="O8" s="13" t="s">
        <v>2</v>
      </c>
      <c r="P8" s="13" t="s">
        <v>3</v>
      </c>
      <c r="Q8" s="13" t="s">
        <v>4</v>
      </c>
      <c r="R8" s="14" t="s">
        <v>5</v>
      </c>
    </row>
    <row r="9" spans="1:20" ht="15" customHeight="1" x14ac:dyDescent="0.25">
      <c r="A9" s="15"/>
      <c r="B9" s="16" t="s">
        <v>53</v>
      </c>
      <c r="C9" s="6"/>
      <c r="F9" s="2" t="s">
        <v>6</v>
      </c>
      <c r="H9" s="22"/>
      <c r="I9" s="6"/>
      <c r="N9" s="22"/>
      <c r="O9" s="6"/>
      <c r="R9" s="22"/>
    </row>
    <row r="10" spans="1:20" ht="15" customHeight="1" x14ac:dyDescent="0.25">
      <c r="A10" s="15" t="s">
        <v>79</v>
      </c>
      <c r="B10" s="16" t="s">
        <v>54</v>
      </c>
      <c r="C10" s="6">
        <v>0</v>
      </c>
      <c r="D10" s="2">
        <v>0</v>
      </c>
      <c r="E10" s="2">
        <v>0</v>
      </c>
      <c r="F10" s="2" t="s">
        <v>6</v>
      </c>
      <c r="G10" s="2">
        <v>0</v>
      </c>
      <c r="H10" s="22"/>
      <c r="I10" s="6">
        <v>0</v>
      </c>
      <c r="J10" s="2">
        <v>0</v>
      </c>
      <c r="K10" s="2">
        <v>0</v>
      </c>
      <c r="L10" s="2">
        <v>0</v>
      </c>
      <c r="M10" s="2">
        <v>0</v>
      </c>
      <c r="N10" s="22"/>
      <c r="O10" s="6">
        <v>0</v>
      </c>
      <c r="P10" s="2">
        <v>0</v>
      </c>
      <c r="Q10" s="2">
        <v>0</v>
      </c>
      <c r="R10" s="22"/>
    </row>
    <row r="11" spans="1:20" ht="15" customHeight="1" x14ac:dyDescent="0.25">
      <c r="A11" s="15"/>
      <c r="B11" s="16" t="s">
        <v>55</v>
      </c>
      <c r="C11" s="6"/>
      <c r="F11" s="2" t="s">
        <v>6</v>
      </c>
      <c r="H11" s="22"/>
      <c r="I11" s="6"/>
      <c r="N11" s="22"/>
      <c r="O11" s="6"/>
      <c r="R11" s="22"/>
    </row>
    <row r="12" spans="1:20" ht="15" customHeight="1" x14ac:dyDescent="0.25">
      <c r="A12" s="15" t="s">
        <v>79</v>
      </c>
      <c r="B12" s="16" t="s">
        <v>56</v>
      </c>
      <c r="C12" s="6">
        <v>0</v>
      </c>
      <c r="D12" s="2">
        <v>0</v>
      </c>
      <c r="E12" s="2">
        <v>0</v>
      </c>
      <c r="F12" s="2">
        <v>0</v>
      </c>
      <c r="G12" s="2">
        <v>0</v>
      </c>
      <c r="H12" s="22"/>
      <c r="I12" s="6">
        <v>0</v>
      </c>
      <c r="J12" s="2">
        <v>0</v>
      </c>
      <c r="K12" s="2">
        <v>0</v>
      </c>
      <c r="L12" s="2" t="s">
        <v>81</v>
      </c>
      <c r="M12" s="2">
        <v>0</v>
      </c>
      <c r="N12" s="22"/>
      <c r="O12" s="6">
        <v>0</v>
      </c>
      <c r="P12" s="2">
        <v>0</v>
      </c>
      <c r="Q12" s="2">
        <v>0</v>
      </c>
      <c r="R12" s="22"/>
    </row>
    <row r="13" spans="1:20" ht="15" customHeight="1" x14ac:dyDescent="0.25">
      <c r="A13" s="15"/>
      <c r="B13" s="16" t="s">
        <v>57</v>
      </c>
      <c r="C13" s="6"/>
      <c r="F13" s="2" t="s">
        <v>6</v>
      </c>
      <c r="H13" s="22"/>
      <c r="I13" s="6"/>
      <c r="N13" s="22"/>
      <c r="O13" s="6"/>
      <c r="R13" s="22"/>
    </row>
    <row r="14" spans="1:20" ht="15" customHeight="1" x14ac:dyDescent="0.25">
      <c r="A14" s="15"/>
      <c r="B14" s="16" t="s">
        <v>58</v>
      </c>
      <c r="C14" s="6"/>
      <c r="F14" s="2" t="s">
        <v>6</v>
      </c>
      <c r="H14" s="22"/>
      <c r="I14" s="6"/>
      <c r="N14" s="22"/>
      <c r="O14" s="6"/>
      <c r="R14" s="22"/>
    </row>
    <row r="15" spans="1:20" ht="15" customHeight="1" x14ac:dyDescent="0.25">
      <c r="A15" s="15"/>
      <c r="B15" s="16" t="s">
        <v>59</v>
      </c>
      <c r="C15" s="6"/>
      <c r="F15" s="2" t="s">
        <v>6</v>
      </c>
      <c r="H15" s="22"/>
      <c r="I15" s="6"/>
      <c r="N15" s="22"/>
      <c r="O15" s="6"/>
      <c r="R15" s="22"/>
    </row>
    <row r="16" spans="1:20" ht="15" customHeight="1" x14ac:dyDescent="0.25">
      <c r="A16" s="15" t="s">
        <v>79</v>
      </c>
      <c r="B16" s="16" t="s">
        <v>60</v>
      </c>
      <c r="C16" s="6">
        <v>0</v>
      </c>
      <c r="D16" s="2">
        <v>0</v>
      </c>
      <c r="E16" s="2" t="s">
        <v>6</v>
      </c>
      <c r="F16" s="2" t="s">
        <v>6</v>
      </c>
      <c r="G16" s="2">
        <v>0</v>
      </c>
      <c r="H16" s="22"/>
      <c r="I16" s="6">
        <v>0</v>
      </c>
      <c r="J16" s="2">
        <v>0</v>
      </c>
      <c r="K16" s="2" t="s">
        <v>6</v>
      </c>
      <c r="L16" s="2" t="s">
        <v>85</v>
      </c>
      <c r="M16" s="2">
        <v>0</v>
      </c>
      <c r="N16" s="22"/>
      <c r="O16" s="6">
        <v>0</v>
      </c>
      <c r="P16" s="2">
        <v>0</v>
      </c>
      <c r="Q16" s="2" t="s">
        <v>6</v>
      </c>
      <c r="R16" s="22"/>
    </row>
    <row r="17" spans="1:20" ht="15" customHeight="1" x14ac:dyDescent="0.25">
      <c r="A17" s="15"/>
      <c r="B17" s="16" t="s">
        <v>61</v>
      </c>
      <c r="C17" s="6"/>
      <c r="F17" s="2" t="s">
        <v>6</v>
      </c>
      <c r="H17" s="22"/>
      <c r="I17" s="6"/>
      <c r="N17" s="22"/>
      <c r="O17" s="6"/>
      <c r="R17" s="22"/>
    </row>
    <row r="18" spans="1:20" ht="15" customHeight="1" x14ac:dyDescent="0.25">
      <c r="A18" s="15"/>
      <c r="B18" s="16" t="s">
        <v>62</v>
      </c>
      <c r="C18" s="6"/>
      <c r="F18" s="2" t="s">
        <v>6</v>
      </c>
      <c r="H18" s="22"/>
      <c r="I18" s="6"/>
      <c r="N18" s="22"/>
      <c r="O18" s="6"/>
      <c r="R18" s="22"/>
    </row>
    <row r="19" spans="1:20" ht="15" customHeight="1" x14ac:dyDescent="0.25">
      <c r="A19" s="15"/>
      <c r="B19" s="16" t="s">
        <v>63</v>
      </c>
      <c r="C19" s="6"/>
      <c r="F19" s="2" t="s">
        <v>6</v>
      </c>
      <c r="H19" s="22"/>
      <c r="I19" s="6"/>
      <c r="N19" s="22"/>
      <c r="O19" s="6"/>
      <c r="R19" s="22"/>
    </row>
    <row r="20" spans="1:20" ht="15" customHeight="1" x14ac:dyDescent="0.25">
      <c r="A20" s="15"/>
      <c r="B20" s="16" t="s">
        <v>64</v>
      </c>
      <c r="C20" s="6"/>
      <c r="F20" s="2" t="s">
        <v>6</v>
      </c>
      <c r="H20" s="22"/>
      <c r="I20" s="6"/>
      <c r="N20" s="22"/>
      <c r="O20" s="6"/>
      <c r="R20" s="22"/>
    </row>
    <row r="21" spans="1:20" ht="15" customHeight="1" x14ac:dyDescent="0.25">
      <c r="A21" s="15"/>
      <c r="B21" s="16" t="s">
        <v>65</v>
      </c>
      <c r="C21" s="6"/>
      <c r="F21" s="2" t="s">
        <v>6</v>
      </c>
      <c r="H21" s="22"/>
      <c r="I21" s="6"/>
      <c r="N21" s="22"/>
      <c r="O21" s="6"/>
      <c r="R21" s="22"/>
    </row>
    <row r="22" spans="1:20" ht="15" customHeight="1" x14ac:dyDescent="0.25">
      <c r="A22" s="15"/>
      <c r="B22" s="16" t="s">
        <v>66</v>
      </c>
      <c r="C22" s="6"/>
      <c r="F22" s="2" t="s">
        <v>6</v>
      </c>
      <c r="H22" s="22"/>
      <c r="I22" s="6"/>
      <c r="N22" s="22"/>
      <c r="O22" s="6"/>
      <c r="R22" s="22"/>
    </row>
    <row r="23" spans="1:20" ht="15" customHeight="1" x14ac:dyDescent="0.25">
      <c r="A23" s="15"/>
      <c r="B23" s="16" t="s">
        <v>67</v>
      </c>
      <c r="C23" s="6"/>
      <c r="F23" s="2" t="s">
        <v>6</v>
      </c>
      <c r="H23" s="22"/>
      <c r="I23" s="6"/>
      <c r="N23" s="22"/>
      <c r="O23" s="6"/>
      <c r="R23" s="22"/>
    </row>
    <row r="24" spans="1:20" ht="15" customHeight="1" x14ac:dyDescent="0.25">
      <c r="A24" s="15"/>
      <c r="B24" s="16" t="s">
        <v>68</v>
      </c>
      <c r="C24" s="6"/>
      <c r="F24" s="2" t="s">
        <v>6</v>
      </c>
      <c r="H24" s="22"/>
      <c r="I24" s="6"/>
      <c r="N24" s="22"/>
      <c r="O24" s="6"/>
      <c r="R24" s="22"/>
    </row>
    <row r="25" spans="1:20" ht="15" customHeight="1" x14ac:dyDescent="0.25">
      <c r="A25" s="15"/>
      <c r="B25" s="16" t="s">
        <v>69</v>
      </c>
      <c r="C25" s="6"/>
      <c r="F25" s="2" t="s">
        <v>6</v>
      </c>
      <c r="H25" s="22"/>
      <c r="I25" s="6"/>
      <c r="N25" s="22"/>
      <c r="O25" s="6"/>
      <c r="R25" s="22"/>
    </row>
    <row r="26" spans="1:20" ht="15" customHeight="1" thickBot="1" x14ac:dyDescent="0.3">
      <c r="A26" s="17"/>
      <c r="B26" s="18"/>
      <c r="C26" s="7"/>
      <c r="D26" s="8"/>
      <c r="E26" s="8"/>
      <c r="F26" s="8"/>
      <c r="G26" s="8"/>
      <c r="H26" s="23"/>
      <c r="I26" s="7"/>
      <c r="J26" s="8"/>
      <c r="K26" s="8"/>
      <c r="L26" s="8"/>
      <c r="M26" s="8"/>
      <c r="N26" s="23"/>
      <c r="O26" s="7"/>
      <c r="P26" s="8"/>
      <c r="Q26" s="8"/>
      <c r="R26" s="23"/>
    </row>
    <row r="27" spans="1:20" ht="15" customHeight="1" thickBot="1" x14ac:dyDescent="0.3"/>
    <row r="28" spans="1:20" ht="15" customHeight="1" x14ac:dyDescent="0.25">
      <c r="A28" s="2"/>
      <c r="B28" s="3" t="s">
        <v>10</v>
      </c>
      <c r="C28" s="4">
        <f>COUNTIF(C36:C53,"A")</f>
        <v>0</v>
      </c>
      <c r="D28" s="5">
        <f t="shared" ref="D28:H28" si="11">COUNTIF(D36:D53,"A")</f>
        <v>0</v>
      </c>
      <c r="E28" s="5">
        <f t="shared" si="11"/>
        <v>0</v>
      </c>
      <c r="F28" s="5">
        <f t="shared" si="11"/>
        <v>14</v>
      </c>
      <c r="G28" s="5">
        <f t="shared" si="11"/>
        <v>0</v>
      </c>
      <c r="H28" s="5">
        <f t="shared" si="11"/>
        <v>0</v>
      </c>
      <c r="I28" s="5">
        <f>COUNTIF(I36:I53,"A")</f>
        <v>0</v>
      </c>
      <c r="J28" s="5">
        <f t="shared" ref="J28:N28" si="12">COUNTIF(J36:J53,"A")</f>
        <v>0</v>
      </c>
      <c r="K28" s="5">
        <f t="shared" si="12"/>
        <v>0</v>
      </c>
      <c r="L28" s="5">
        <f t="shared" si="12"/>
        <v>0</v>
      </c>
      <c r="M28" s="5">
        <f t="shared" si="12"/>
        <v>0</v>
      </c>
      <c r="N28" s="5">
        <f t="shared" si="12"/>
        <v>0</v>
      </c>
      <c r="O28" s="5">
        <f>COUNTIF(O36:O53,"A")</f>
        <v>0</v>
      </c>
      <c r="P28" s="5">
        <f t="shared" ref="P28:R28" si="13">COUNTIF(P36:P53,"A")</f>
        <v>0</v>
      </c>
      <c r="Q28" s="5">
        <f t="shared" si="13"/>
        <v>0</v>
      </c>
      <c r="R28" s="10">
        <f t="shared" si="13"/>
        <v>0</v>
      </c>
      <c r="S28" s="26" t="s">
        <v>74</v>
      </c>
    </row>
    <row r="29" spans="1:20" ht="15" customHeight="1" x14ac:dyDescent="0.25">
      <c r="A29" s="25" t="s">
        <v>52</v>
      </c>
      <c r="B29" s="3" t="s">
        <v>11</v>
      </c>
      <c r="C29" s="28">
        <f>C28/C31</f>
        <v>0</v>
      </c>
      <c r="D29" s="29">
        <f t="shared" ref="D29:H29" si="14">D28/D31</f>
        <v>0</v>
      </c>
      <c r="E29" s="29">
        <f t="shared" si="14"/>
        <v>0</v>
      </c>
      <c r="F29" s="29">
        <f t="shared" si="14"/>
        <v>0.875</v>
      </c>
      <c r="G29" s="29">
        <f t="shared" si="14"/>
        <v>0</v>
      </c>
      <c r="H29" s="29" t="e">
        <f t="shared" si="14"/>
        <v>#DIV/0!</v>
      </c>
      <c r="I29" s="29">
        <f>I28/I31</f>
        <v>0</v>
      </c>
      <c r="J29" s="29">
        <f t="shared" ref="J29:N29" si="15">J28/J31</f>
        <v>0</v>
      </c>
      <c r="K29" s="29">
        <f t="shared" si="15"/>
        <v>0</v>
      </c>
      <c r="L29" s="29">
        <f t="shared" si="15"/>
        <v>0</v>
      </c>
      <c r="M29" s="29">
        <f t="shared" si="15"/>
        <v>0</v>
      </c>
      <c r="N29" s="29" t="e">
        <f t="shared" si="15"/>
        <v>#DIV/0!</v>
      </c>
      <c r="O29" s="29">
        <f>O28/O31</f>
        <v>0</v>
      </c>
      <c r="P29" s="29">
        <f t="shared" ref="P29:R29" si="16">P28/P31</f>
        <v>0</v>
      </c>
      <c r="Q29" s="29">
        <f t="shared" si="16"/>
        <v>0</v>
      </c>
      <c r="R29" s="30" t="e">
        <f t="shared" si="16"/>
        <v>#DIV/0!</v>
      </c>
      <c r="S29" s="2" t="s">
        <v>6</v>
      </c>
      <c r="T29" s="1" t="s">
        <v>75</v>
      </c>
    </row>
    <row r="30" spans="1:20" ht="15" customHeight="1" x14ac:dyDescent="0.25">
      <c r="A30" s="9">
        <f>COUNTA(A36:A53)/C33</f>
        <v>0.1875</v>
      </c>
      <c r="B30" s="3" t="s">
        <v>12</v>
      </c>
      <c r="C30" s="28">
        <f>C29/$C33</f>
        <v>0</v>
      </c>
      <c r="D30" s="29">
        <f t="shared" ref="D30:R30" si="17">D29/$C33</f>
        <v>0</v>
      </c>
      <c r="E30" s="29">
        <f t="shared" si="17"/>
        <v>0</v>
      </c>
      <c r="F30" s="29">
        <f t="shared" si="17"/>
        <v>5.46875E-2</v>
      </c>
      <c r="G30" s="29">
        <f t="shared" si="17"/>
        <v>0</v>
      </c>
      <c r="H30" s="29" t="e">
        <f t="shared" si="17"/>
        <v>#DIV/0!</v>
      </c>
      <c r="I30" s="29">
        <f t="shared" si="17"/>
        <v>0</v>
      </c>
      <c r="J30" s="29">
        <f t="shared" si="17"/>
        <v>0</v>
      </c>
      <c r="K30" s="29">
        <f t="shared" si="17"/>
        <v>0</v>
      </c>
      <c r="L30" s="29">
        <f t="shared" si="17"/>
        <v>0</v>
      </c>
      <c r="M30" s="29">
        <f t="shared" si="17"/>
        <v>0</v>
      </c>
      <c r="N30" s="29" t="e">
        <f t="shared" si="17"/>
        <v>#DIV/0!</v>
      </c>
      <c r="O30" s="29">
        <f t="shared" si="17"/>
        <v>0</v>
      </c>
      <c r="P30" s="29">
        <f t="shared" si="17"/>
        <v>0</v>
      </c>
      <c r="Q30" s="29">
        <f t="shared" si="17"/>
        <v>0</v>
      </c>
      <c r="R30" s="30" t="e">
        <f t="shared" si="17"/>
        <v>#DIV/0!</v>
      </c>
      <c r="S30" s="2" t="s">
        <v>76</v>
      </c>
      <c r="T30" s="1" t="s">
        <v>77</v>
      </c>
    </row>
    <row r="31" spans="1:20" ht="15" customHeight="1" x14ac:dyDescent="0.25">
      <c r="A31" s="24" t="s">
        <v>71</v>
      </c>
      <c r="B31" s="3" t="s">
        <v>8</v>
      </c>
      <c r="C31" s="6">
        <f>COUNTA(C36:C53)</f>
        <v>3</v>
      </c>
      <c r="D31" s="2">
        <f t="shared" ref="D31:H31" si="18">COUNTA(D36:D53)</f>
        <v>3</v>
      </c>
      <c r="E31" s="2">
        <f t="shared" si="18"/>
        <v>3</v>
      </c>
      <c r="F31" s="2">
        <f t="shared" si="18"/>
        <v>16</v>
      </c>
      <c r="G31" s="2">
        <f t="shared" si="18"/>
        <v>3</v>
      </c>
      <c r="H31" s="2">
        <f t="shared" si="18"/>
        <v>0</v>
      </c>
      <c r="I31" s="2">
        <f>COUNTA(I36:I53)</f>
        <v>3</v>
      </c>
      <c r="J31" s="2">
        <f t="shared" ref="J31:N31" si="19">COUNTA(J36:J53)</f>
        <v>3</v>
      </c>
      <c r="K31" s="2">
        <f t="shared" si="19"/>
        <v>3</v>
      </c>
      <c r="L31" s="2">
        <f t="shared" si="19"/>
        <v>3</v>
      </c>
      <c r="M31" s="2">
        <f t="shared" si="19"/>
        <v>3</v>
      </c>
      <c r="N31" s="2">
        <f t="shared" si="19"/>
        <v>0</v>
      </c>
      <c r="O31" s="2">
        <f>COUNTA(O36:O53)</f>
        <v>3</v>
      </c>
      <c r="P31" s="2">
        <f t="shared" ref="P31:R31" si="20">COUNTA(P36:P53)</f>
        <v>3</v>
      </c>
      <c r="Q31" s="2">
        <f t="shared" si="20"/>
        <v>3</v>
      </c>
      <c r="R31" s="11">
        <f t="shared" si="20"/>
        <v>0</v>
      </c>
      <c r="S31" s="2">
        <v>0</v>
      </c>
      <c r="T31" s="1" t="s">
        <v>78</v>
      </c>
    </row>
    <row r="32" spans="1:20" ht="15" customHeight="1" x14ac:dyDescent="0.25">
      <c r="A32" s="33" t="s">
        <v>107</v>
      </c>
      <c r="B32" s="3" t="s">
        <v>9</v>
      </c>
      <c r="C32" s="28">
        <f>C31/$C33</f>
        <v>0.1875</v>
      </c>
      <c r="D32" s="29">
        <f t="shared" ref="D32:R32" si="21">D31/$C33</f>
        <v>0.1875</v>
      </c>
      <c r="E32" s="29">
        <f t="shared" si="21"/>
        <v>0.1875</v>
      </c>
      <c r="F32" s="29">
        <f t="shared" si="21"/>
        <v>1</v>
      </c>
      <c r="G32" s="29">
        <f t="shared" si="21"/>
        <v>0.1875</v>
      </c>
      <c r="H32" s="29">
        <f t="shared" si="21"/>
        <v>0</v>
      </c>
      <c r="I32" s="29">
        <f t="shared" si="21"/>
        <v>0.1875</v>
      </c>
      <c r="J32" s="29">
        <f t="shared" si="21"/>
        <v>0.1875</v>
      </c>
      <c r="K32" s="29">
        <f t="shared" si="21"/>
        <v>0.1875</v>
      </c>
      <c r="L32" s="29">
        <f t="shared" si="21"/>
        <v>0.1875</v>
      </c>
      <c r="M32" s="29">
        <f t="shared" si="21"/>
        <v>0.1875</v>
      </c>
      <c r="N32" s="29">
        <f t="shared" si="21"/>
        <v>0</v>
      </c>
      <c r="O32" s="29">
        <f t="shared" si="21"/>
        <v>0.1875</v>
      </c>
      <c r="P32" s="29">
        <f t="shared" si="21"/>
        <v>0.1875</v>
      </c>
      <c r="Q32" s="29">
        <f t="shared" si="21"/>
        <v>0.1875</v>
      </c>
      <c r="R32" s="30">
        <f t="shared" si="21"/>
        <v>0</v>
      </c>
      <c r="S32" s="2" t="s">
        <v>81</v>
      </c>
      <c r="T32" s="1" t="s">
        <v>82</v>
      </c>
    </row>
    <row r="33" spans="1:20" ht="15" customHeight="1" thickBot="1" x14ac:dyDescent="0.3">
      <c r="A33" s="24" t="s">
        <v>72</v>
      </c>
      <c r="B33" s="3" t="s">
        <v>7</v>
      </c>
      <c r="C33" s="7">
        <f>COUNTA($B36:$B53)</f>
        <v>16</v>
      </c>
      <c r="D33" s="8"/>
      <c r="E33" s="8"/>
      <c r="F33" s="8"/>
      <c r="G33" s="8"/>
      <c r="H33" s="31"/>
      <c r="I33" s="8"/>
      <c r="J33" s="8"/>
      <c r="K33" s="8"/>
      <c r="L33" s="8"/>
      <c r="M33" s="8"/>
      <c r="N33" s="31"/>
      <c r="O33" s="8"/>
      <c r="P33" s="8"/>
      <c r="Q33" s="8"/>
      <c r="R33" s="18"/>
      <c r="S33" s="2" t="s">
        <v>134</v>
      </c>
      <c r="T33" s="1" t="s">
        <v>135</v>
      </c>
    </row>
    <row r="34" spans="1:20" ht="15" customHeight="1" thickBot="1" x14ac:dyDescent="0.3">
      <c r="A34" s="33" t="s">
        <v>105</v>
      </c>
      <c r="C34" s="35" t="s">
        <v>15</v>
      </c>
      <c r="D34" s="36"/>
      <c r="E34" s="36"/>
      <c r="F34" s="36"/>
      <c r="G34" s="36"/>
      <c r="H34" s="36"/>
      <c r="I34" s="36" t="s">
        <v>13</v>
      </c>
      <c r="J34" s="36"/>
      <c r="K34" s="36"/>
      <c r="L34" s="36"/>
      <c r="M34" s="36"/>
      <c r="N34" s="36"/>
      <c r="O34" s="36" t="s">
        <v>14</v>
      </c>
      <c r="P34" s="36"/>
      <c r="Q34" s="36"/>
      <c r="R34" s="37"/>
    </row>
    <row r="35" spans="1:20" ht="28" customHeight="1" thickBot="1" x14ac:dyDescent="0.3">
      <c r="A35" s="19" t="s">
        <v>1</v>
      </c>
      <c r="B35" s="20" t="s">
        <v>0</v>
      </c>
      <c r="C35" s="12" t="s">
        <v>2</v>
      </c>
      <c r="D35" s="13" t="s">
        <v>3</v>
      </c>
      <c r="E35" s="13" t="s">
        <v>4</v>
      </c>
      <c r="F35" s="21" t="s">
        <v>84</v>
      </c>
      <c r="G35" s="21" t="s">
        <v>34</v>
      </c>
      <c r="H35" s="13" t="s">
        <v>5</v>
      </c>
      <c r="I35" s="13" t="s">
        <v>2</v>
      </c>
      <c r="J35" s="13" t="s">
        <v>3</v>
      </c>
      <c r="K35" s="13" t="s">
        <v>4</v>
      </c>
      <c r="L35" s="21" t="s">
        <v>83</v>
      </c>
      <c r="M35" s="21" t="s">
        <v>34</v>
      </c>
      <c r="N35" s="13" t="s">
        <v>5</v>
      </c>
      <c r="O35" s="13" t="s">
        <v>2</v>
      </c>
      <c r="P35" s="13" t="s">
        <v>3</v>
      </c>
      <c r="Q35" s="13" t="s">
        <v>4</v>
      </c>
      <c r="R35" s="14" t="s">
        <v>5</v>
      </c>
    </row>
    <row r="36" spans="1:20" ht="15" customHeight="1" x14ac:dyDescent="0.25">
      <c r="A36" s="15"/>
      <c r="B36" s="16" t="s">
        <v>87</v>
      </c>
      <c r="C36" s="6"/>
      <c r="F36" s="2" t="s">
        <v>6</v>
      </c>
      <c r="H36" s="22"/>
      <c r="I36" s="6"/>
      <c r="N36" s="22"/>
      <c r="O36" s="6"/>
      <c r="R36" s="22"/>
    </row>
    <row r="37" spans="1:20" ht="15" customHeight="1" x14ac:dyDescent="0.25">
      <c r="A37" s="15" t="s">
        <v>103</v>
      </c>
      <c r="B37" s="16" t="s">
        <v>88</v>
      </c>
      <c r="C37" s="6">
        <v>0</v>
      </c>
      <c r="D37" s="2">
        <v>0</v>
      </c>
      <c r="E37" s="2">
        <v>0</v>
      </c>
      <c r="F37" s="2" t="s">
        <v>6</v>
      </c>
      <c r="G37" s="2">
        <v>0</v>
      </c>
      <c r="H37" s="22"/>
      <c r="I37" s="6">
        <v>0</v>
      </c>
      <c r="J37" s="2">
        <v>0</v>
      </c>
      <c r="K37" s="2">
        <v>0</v>
      </c>
      <c r="L37" s="2" t="s">
        <v>85</v>
      </c>
      <c r="M37" s="2">
        <v>0</v>
      </c>
      <c r="N37" s="22"/>
      <c r="O37" s="6">
        <v>0</v>
      </c>
      <c r="P37" s="2">
        <v>0</v>
      </c>
      <c r="Q37" s="2">
        <v>0</v>
      </c>
      <c r="R37" s="22"/>
    </row>
    <row r="38" spans="1:20" ht="15" customHeight="1" x14ac:dyDescent="0.25">
      <c r="A38" s="15"/>
      <c r="B38" s="16" t="s">
        <v>89</v>
      </c>
      <c r="C38" s="6"/>
      <c r="F38" s="2" t="s">
        <v>6</v>
      </c>
      <c r="H38" s="22"/>
      <c r="I38" s="6"/>
      <c r="N38" s="22"/>
      <c r="O38" s="6"/>
      <c r="R38" s="22"/>
    </row>
    <row r="39" spans="1:20" ht="15" customHeight="1" x14ac:dyDescent="0.25">
      <c r="A39" s="15"/>
      <c r="B39" s="16" t="s">
        <v>90</v>
      </c>
      <c r="C39" s="6"/>
      <c r="F39" s="2" t="s">
        <v>6</v>
      </c>
      <c r="H39" s="22"/>
      <c r="I39" s="6"/>
      <c r="N39" s="22"/>
      <c r="O39" s="6"/>
      <c r="R39" s="22"/>
    </row>
    <row r="40" spans="1:20" ht="15" customHeight="1" x14ac:dyDescent="0.25">
      <c r="A40" s="15" t="s">
        <v>103</v>
      </c>
      <c r="B40" s="16" t="s">
        <v>91</v>
      </c>
      <c r="C40" s="6">
        <v>0</v>
      </c>
      <c r="D40" s="2">
        <v>0</v>
      </c>
      <c r="E40" s="2">
        <v>0</v>
      </c>
      <c r="F40" s="2">
        <v>0</v>
      </c>
      <c r="G40" s="2">
        <v>0</v>
      </c>
      <c r="H40" s="22"/>
      <c r="I40" s="6">
        <v>0</v>
      </c>
      <c r="J40" s="2">
        <v>0</v>
      </c>
      <c r="K40" s="2">
        <v>0</v>
      </c>
      <c r="L40" s="2">
        <v>0</v>
      </c>
      <c r="M40" s="2">
        <v>0</v>
      </c>
      <c r="N40" s="22"/>
      <c r="O40" s="6">
        <v>0</v>
      </c>
      <c r="P40" s="2">
        <v>0</v>
      </c>
      <c r="Q40" s="2">
        <v>0</v>
      </c>
      <c r="R40" s="22"/>
    </row>
    <row r="41" spans="1:20" ht="15" customHeight="1" x14ac:dyDescent="0.25">
      <c r="A41" s="15" t="s">
        <v>103</v>
      </c>
      <c r="B41" s="16" t="s">
        <v>92</v>
      </c>
      <c r="C41" s="6">
        <v>0</v>
      </c>
      <c r="D41" s="2">
        <v>0</v>
      </c>
      <c r="E41" s="2">
        <v>0</v>
      </c>
      <c r="F41" s="2">
        <v>0</v>
      </c>
      <c r="G41" s="2">
        <v>0</v>
      </c>
      <c r="H41" s="22"/>
      <c r="I41" s="6">
        <v>0</v>
      </c>
      <c r="J41" s="2">
        <v>0</v>
      </c>
      <c r="K41" s="2">
        <v>0</v>
      </c>
      <c r="L41" s="2" t="s">
        <v>104</v>
      </c>
      <c r="M41" s="2">
        <v>0</v>
      </c>
      <c r="N41" s="22"/>
      <c r="O41" s="6">
        <v>0</v>
      </c>
      <c r="P41" s="2">
        <v>0</v>
      </c>
      <c r="Q41" s="2">
        <v>0</v>
      </c>
      <c r="R41" s="22"/>
    </row>
    <row r="42" spans="1:20" ht="15" customHeight="1" x14ac:dyDescent="0.25">
      <c r="A42" s="15"/>
      <c r="B42" s="16" t="s">
        <v>93</v>
      </c>
      <c r="C42" s="6"/>
      <c r="F42" s="2" t="s">
        <v>6</v>
      </c>
      <c r="H42" s="22"/>
      <c r="I42" s="6"/>
      <c r="N42" s="22"/>
      <c r="O42" s="6"/>
      <c r="R42" s="22"/>
    </row>
    <row r="43" spans="1:20" ht="15" customHeight="1" x14ac:dyDescent="0.25">
      <c r="A43" s="15"/>
      <c r="B43" s="16" t="s">
        <v>94</v>
      </c>
      <c r="C43" s="6"/>
      <c r="F43" s="2" t="s">
        <v>6</v>
      </c>
      <c r="H43" s="22"/>
      <c r="I43" s="6"/>
      <c r="N43" s="22"/>
      <c r="O43" s="6"/>
      <c r="R43" s="22"/>
    </row>
    <row r="44" spans="1:20" ht="15" customHeight="1" x14ac:dyDescent="0.25">
      <c r="A44" s="15"/>
      <c r="B44" s="16" t="s">
        <v>95</v>
      </c>
      <c r="C44" s="6"/>
      <c r="F44" s="2" t="s">
        <v>6</v>
      </c>
      <c r="H44" s="22"/>
      <c r="I44" s="6"/>
      <c r="N44" s="22"/>
      <c r="O44" s="6"/>
      <c r="R44" s="22"/>
    </row>
    <row r="45" spans="1:20" ht="15" customHeight="1" x14ac:dyDescent="0.25">
      <c r="A45" s="15"/>
      <c r="B45" s="16" t="s">
        <v>96</v>
      </c>
      <c r="C45" s="6"/>
      <c r="F45" s="2" t="s">
        <v>6</v>
      </c>
      <c r="H45" s="22"/>
      <c r="I45" s="6"/>
      <c r="N45" s="22"/>
      <c r="O45" s="6"/>
      <c r="R45" s="22"/>
    </row>
    <row r="46" spans="1:20" ht="15" customHeight="1" x14ac:dyDescent="0.25">
      <c r="A46" s="15"/>
      <c r="B46" s="16" t="s">
        <v>97</v>
      </c>
      <c r="C46" s="6"/>
      <c r="F46" s="2" t="s">
        <v>6</v>
      </c>
      <c r="H46" s="22"/>
      <c r="I46" s="6"/>
      <c r="N46" s="22"/>
      <c r="O46" s="6"/>
      <c r="R46" s="22"/>
    </row>
    <row r="47" spans="1:20" ht="15" customHeight="1" x14ac:dyDescent="0.25">
      <c r="A47" s="15"/>
      <c r="B47" s="16" t="s">
        <v>98</v>
      </c>
      <c r="C47" s="6"/>
      <c r="F47" s="2" t="s">
        <v>6</v>
      </c>
      <c r="H47" s="22"/>
      <c r="I47" s="6"/>
      <c r="N47" s="22"/>
      <c r="O47" s="6"/>
      <c r="R47" s="22"/>
    </row>
    <row r="48" spans="1:20" ht="15" customHeight="1" x14ac:dyDescent="0.25">
      <c r="A48" s="15"/>
      <c r="B48" s="16" t="s">
        <v>99</v>
      </c>
      <c r="C48" s="6"/>
      <c r="F48" s="2" t="s">
        <v>6</v>
      </c>
      <c r="H48" s="22"/>
      <c r="I48" s="6"/>
      <c r="N48" s="22"/>
      <c r="O48" s="6"/>
      <c r="R48" s="22"/>
    </row>
    <row r="49" spans="1:20" ht="15" customHeight="1" x14ac:dyDescent="0.25">
      <c r="A49" s="15"/>
      <c r="B49" s="16" t="s">
        <v>100</v>
      </c>
      <c r="C49" s="6"/>
      <c r="F49" s="2" t="s">
        <v>6</v>
      </c>
      <c r="H49" s="22"/>
      <c r="I49" s="6"/>
      <c r="N49" s="22"/>
      <c r="O49" s="6"/>
      <c r="R49" s="22"/>
    </row>
    <row r="50" spans="1:20" ht="15" customHeight="1" x14ac:dyDescent="0.25">
      <c r="A50" s="15"/>
      <c r="B50" s="16" t="s">
        <v>101</v>
      </c>
      <c r="C50" s="6"/>
      <c r="F50" s="2" t="s">
        <v>6</v>
      </c>
      <c r="H50" s="22"/>
      <c r="I50" s="6"/>
      <c r="N50" s="22"/>
      <c r="O50" s="6"/>
      <c r="R50" s="22"/>
    </row>
    <row r="51" spans="1:20" ht="15" customHeight="1" x14ac:dyDescent="0.25">
      <c r="A51" s="15"/>
      <c r="B51" s="32" t="s">
        <v>69</v>
      </c>
      <c r="C51" s="6"/>
      <c r="F51" s="2" t="s">
        <v>6</v>
      </c>
      <c r="H51" s="22"/>
      <c r="I51" s="6"/>
      <c r="N51" s="22"/>
      <c r="O51" s="6"/>
      <c r="R51" s="22"/>
      <c r="S51" s="1" t="s">
        <v>102</v>
      </c>
    </row>
    <row r="52" spans="1:20" ht="15" customHeight="1" x14ac:dyDescent="0.25">
      <c r="A52" s="15"/>
      <c r="B52" s="16"/>
      <c r="C52" s="6"/>
      <c r="H52" s="22"/>
      <c r="I52" s="6"/>
      <c r="N52" s="22"/>
      <c r="O52" s="6"/>
      <c r="R52" s="22"/>
    </row>
    <row r="53" spans="1:20" ht="15" customHeight="1" thickBot="1" x14ac:dyDescent="0.3">
      <c r="A53" s="17"/>
      <c r="B53" s="18"/>
      <c r="C53" s="7"/>
      <c r="D53" s="8"/>
      <c r="E53" s="8"/>
      <c r="F53" s="8"/>
      <c r="G53" s="8"/>
      <c r="H53" s="23"/>
      <c r="I53" s="7"/>
      <c r="J53" s="8"/>
      <c r="K53" s="8"/>
      <c r="L53" s="8"/>
      <c r="M53" s="8"/>
      <c r="N53" s="23"/>
      <c r="O53" s="7"/>
      <c r="P53" s="8"/>
      <c r="Q53" s="8"/>
      <c r="R53" s="23"/>
    </row>
    <row r="54" spans="1:20" ht="15" customHeight="1" thickBot="1" x14ac:dyDescent="0.3"/>
    <row r="55" spans="1:20" ht="15" customHeight="1" x14ac:dyDescent="0.25">
      <c r="A55" s="2"/>
      <c r="B55" s="3" t="s">
        <v>10</v>
      </c>
      <c r="C55" s="4">
        <f>COUNTIF(C63:C87,"A")</f>
        <v>0</v>
      </c>
      <c r="D55" s="5">
        <f t="shared" ref="D55:H55" si="22">COUNTIF(D63:D87,"A")</f>
        <v>0</v>
      </c>
      <c r="E55" s="5">
        <f t="shared" si="22"/>
        <v>2</v>
      </c>
      <c r="F55" s="5">
        <f t="shared" si="22"/>
        <v>21</v>
      </c>
      <c r="G55" s="5">
        <f t="shared" si="22"/>
        <v>0</v>
      </c>
      <c r="H55" s="5">
        <f t="shared" si="22"/>
        <v>0</v>
      </c>
      <c r="I55" s="5">
        <f>COUNTIF(I63:I87,"A")</f>
        <v>0</v>
      </c>
      <c r="J55" s="5">
        <f t="shared" ref="J55:N55" si="23">COUNTIF(J63:J87,"A")</f>
        <v>0</v>
      </c>
      <c r="K55" s="5">
        <f t="shared" si="23"/>
        <v>2</v>
      </c>
      <c r="L55" s="5">
        <f t="shared" si="23"/>
        <v>0</v>
      </c>
      <c r="M55" s="5">
        <f t="shared" si="23"/>
        <v>1</v>
      </c>
      <c r="N55" s="5">
        <f t="shared" si="23"/>
        <v>0</v>
      </c>
      <c r="O55" s="5">
        <f>COUNTIF(O63:O87,"A")</f>
        <v>0</v>
      </c>
      <c r="P55" s="5">
        <f t="shared" ref="P55:R55" si="24">COUNTIF(P63:P87,"A")</f>
        <v>0</v>
      </c>
      <c r="Q55" s="5">
        <f t="shared" si="24"/>
        <v>2</v>
      </c>
      <c r="R55" s="10">
        <f t="shared" si="24"/>
        <v>0</v>
      </c>
      <c r="S55" s="26" t="s">
        <v>74</v>
      </c>
    </row>
    <row r="56" spans="1:20" ht="15" customHeight="1" x14ac:dyDescent="0.25">
      <c r="A56" s="25" t="s">
        <v>52</v>
      </c>
      <c r="B56" s="3" t="s">
        <v>11</v>
      </c>
      <c r="C56" s="28">
        <f>C55/C58</f>
        <v>0</v>
      </c>
      <c r="D56" s="29">
        <f t="shared" ref="D56:H56" si="25">D55/D58</f>
        <v>0</v>
      </c>
      <c r="E56" s="29">
        <f t="shared" si="25"/>
        <v>0.4</v>
      </c>
      <c r="F56" s="29">
        <f t="shared" si="25"/>
        <v>0.875</v>
      </c>
      <c r="G56" s="29">
        <f t="shared" si="25"/>
        <v>0</v>
      </c>
      <c r="H56" s="29" t="e">
        <f t="shared" si="25"/>
        <v>#DIV/0!</v>
      </c>
      <c r="I56" s="29">
        <f>I55/I58</f>
        <v>0</v>
      </c>
      <c r="J56" s="29">
        <f t="shared" ref="J56:N56" si="26">J55/J58</f>
        <v>0</v>
      </c>
      <c r="K56" s="29">
        <f t="shared" si="26"/>
        <v>0.4</v>
      </c>
      <c r="L56" s="29">
        <f t="shared" si="26"/>
        <v>0</v>
      </c>
      <c r="M56" s="29">
        <f t="shared" si="26"/>
        <v>0.25</v>
      </c>
      <c r="N56" s="29" t="e">
        <f t="shared" si="26"/>
        <v>#DIV/0!</v>
      </c>
      <c r="O56" s="29">
        <f>O55/O58</f>
        <v>0</v>
      </c>
      <c r="P56" s="29">
        <f t="shared" ref="P56:R56" si="27">P55/P58</f>
        <v>0</v>
      </c>
      <c r="Q56" s="29">
        <f t="shared" si="27"/>
        <v>0.4</v>
      </c>
      <c r="R56" s="30" t="e">
        <f t="shared" si="27"/>
        <v>#DIV/0!</v>
      </c>
      <c r="S56" s="2" t="s">
        <v>6</v>
      </c>
      <c r="T56" s="1" t="s">
        <v>75</v>
      </c>
    </row>
    <row r="57" spans="1:20" ht="15" customHeight="1" x14ac:dyDescent="0.25">
      <c r="A57" s="9">
        <f>COUNTA(A63:A87)/C60</f>
        <v>0.20833333333333334</v>
      </c>
      <c r="B57" s="3" t="s">
        <v>12</v>
      </c>
      <c r="C57" s="28">
        <f>C56/$C60</f>
        <v>0</v>
      </c>
      <c r="D57" s="29">
        <f t="shared" ref="D57:R57" si="28">D56/$C60</f>
        <v>0</v>
      </c>
      <c r="E57" s="29">
        <f t="shared" si="28"/>
        <v>1.6666666666666666E-2</v>
      </c>
      <c r="F57" s="29">
        <f t="shared" si="28"/>
        <v>3.6458333333333336E-2</v>
      </c>
      <c r="G57" s="29">
        <f t="shared" si="28"/>
        <v>0</v>
      </c>
      <c r="H57" s="29" t="e">
        <f t="shared" si="28"/>
        <v>#DIV/0!</v>
      </c>
      <c r="I57" s="29">
        <f t="shared" si="28"/>
        <v>0</v>
      </c>
      <c r="J57" s="29">
        <f t="shared" si="28"/>
        <v>0</v>
      </c>
      <c r="K57" s="29">
        <f t="shared" si="28"/>
        <v>1.6666666666666666E-2</v>
      </c>
      <c r="L57" s="29">
        <f t="shared" si="28"/>
        <v>0</v>
      </c>
      <c r="M57" s="29">
        <f t="shared" si="28"/>
        <v>1.0416666666666666E-2</v>
      </c>
      <c r="N57" s="29" t="e">
        <f t="shared" si="28"/>
        <v>#DIV/0!</v>
      </c>
      <c r="O57" s="29">
        <f t="shared" si="28"/>
        <v>0</v>
      </c>
      <c r="P57" s="29">
        <f t="shared" si="28"/>
        <v>0</v>
      </c>
      <c r="Q57" s="29">
        <f t="shared" si="28"/>
        <v>1.6666666666666666E-2</v>
      </c>
      <c r="R57" s="30" t="e">
        <f t="shared" si="28"/>
        <v>#DIV/0!</v>
      </c>
      <c r="S57" s="2" t="s">
        <v>76</v>
      </c>
      <c r="T57" s="1" t="s">
        <v>77</v>
      </c>
    </row>
    <row r="58" spans="1:20" ht="15" customHeight="1" x14ac:dyDescent="0.25">
      <c r="A58" s="24" t="s">
        <v>71</v>
      </c>
      <c r="B58" s="3" t="s">
        <v>8</v>
      </c>
      <c r="C58" s="6">
        <f>COUNTA(C63:C87)</f>
        <v>5</v>
      </c>
      <c r="D58" s="2">
        <f t="shared" ref="D58:H58" si="29">COUNTA(D63:D87)</f>
        <v>5</v>
      </c>
      <c r="E58" s="2">
        <f t="shared" si="29"/>
        <v>5</v>
      </c>
      <c r="F58" s="2">
        <f t="shared" si="29"/>
        <v>24</v>
      </c>
      <c r="G58" s="2">
        <f t="shared" si="29"/>
        <v>5</v>
      </c>
      <c r="H58" s="2">
        <f t="shared" si="29"/>
        <v>0</v>
      </c>
      <c r="I58" s="2">
        <f>COUNTA(I63:I87)</f>
        <v>5</v>
      </c>
      <c r="J58" s="2">
        <f t="shared" ref="J58:N58" si="30">COUNTA(J63:J87)</f>
        <v>5</v>
      </c>
      <c r="K58" s="2">
        <f t="shared" si="30"/>
        <v>5</v>
      </c>
      <c r="L58" s="2">
        <f t="shared" si="30"/>
        <v>5</v>
      </c>
      <c r="M58" s="2">
        <f t="shared" si="30"/>
        <v>4</v>
      </c>
      <c r="N58" s="2">
        <f t="shared" si="30"/>
        <v>0</v>
      </c>
      <c r="O58" s="2">
        <f>COUNTA(O63:O87)</f>
        <v>5</v>
      </c>
      <c r="P58" s="2">
        <f t="shared" ref="P58:R58" si="31">COUNTA(P63:P87)</f>
        <v>5</v>
      </c>
      <c r="Q58" s="2">
        <f t="shared" si="31"/>
        <v>5</v>
      </c>
      <c r="R58" s="11">
        <f t="shared" si="31"/>
        <v>0</v>
      </c>
      <c r="S58" s="2">
        <v>0</v>
      </c>
      <c r="T58" s="1" t="s">
        <v>78</v>
      </c>
    </row>
    <row r="59" spans="1:20" ht="15" customHeight="1" x14ac:dyDescent="0.25">
      <c r="A59" s="33" t="s">
        <v>106</v>
      </c>
      <c r="B59" s="3" t="s">
        <v>9</v>
      </c>
      <c r="C59" s="28">
        <f>C58/$C60</f>
        <v>0.20833333333333334</v>
      </c>
      <c r="D59" s="29">
        <f t="shared" ref="D59:R59" si="32">D58/$C60</f>
        <v>0.20833333333333334</v>
      </c>
      <c r="E59" s="29">
        <f t="shared" si="32"/>
        <v>0.20833333333333334</v>
      </c>
      <c r="F59" s="29">
        <f t="shared" si="32"/>
        <v>1</v>
      </c>
      <c r="G59" s="29">
        <f t="shared" si="32"/>
        <v>0.20833333333333334</v>
      </c>
      <c r="H59" s="29">
        <f t="shared" si="32"/>
        <v>0</v>
      </c>
      <c r="I59" s="29">
        <f t="shared" si="32"/>
        <v>0.20833333333333334</v>
      </c>
      <c r="J59" s="29">
        <f t="shared" si="32"/>
        <v>0.20833333333333334</v>
      </c>
      <c r="K59" s="29">
        <f t="shared" si="32"/>
        <v>0.20833333333333334</v>
      </c>
      <c r="L59" s="29">
        <f t="shared" si="32"/>
        <v>0.20833333333333334</v>
      </c>
      <c r="M59" s="29">
        <f t="shared" si="32"/>
        <v>0.16666666666666666</v>
      </c>
      <c r="N59" s="29">
        <f t="shared" si="32"/>
        <v>0</v>
      </c>
      <c r="O59" s="29">
        <f t="shared" si="32"/>
        <v>0.20833333333333334</v>
      </c>
      <c r="P59" s="29">
        <f t="shared" si="32"/>
        <v>0.20833333333333334</v>
      </c>
      <c r="Q59" s="29">
        <f t="shared" si="32"/>
        <v>0.20833333333333334</v>
      </c>
      <c r="R59" s="30">
        <f t="shared" si="32"/>
        <v>0</v>
      </c>
      <c r="S59" s="2" t="s">
        <v>81</v>
      </c>
      <c r="T59" s="1" t="s">
        <v>82</v>
      </c>
    </row>
    <row r="60" spans="1:20" ht="15" customHeight="1" thickBot="1" x14ac:dyDescent="0.3">
      <c r="A60" s="24" t="s">
        <v>72</v>
      </c>
      <c r="B60" s="3" t="s">
        <v>7</v>
      </c>
      <c r="C60" s="7">
        <f>COUNTA($B63:$B87)</f>
        <v>24</v>
      </c>
      <c r="D60" s="8"/>
      <c r="E60" s="8"/>
      <c r="F60" s="8"/>
      <c r="G60" s="8"/>
      <c r="H60" s="31"/>
      <c r="I60" s="8"/>
      <c r="J60" s="8"/>
      <c r="K60" s="8"/>
      <c r="L60" s="8"/>
      <c r="M60" s="8"/>
      <c r="N60" s="31"/>
      <c r="O60" s="8"/>
      <c r="P60" s="8"/>
      <c r="Q60" s="8"/>
      <c r="R60" s="18"/>
      <c r="S60" s="2" t="s">
        <v>134</v>
      </c>
      <c r="T60" s="1" t="s">
        <v>135</v>
      </c>
    </row>
    <row r="61" spans="1:20" ht="15" customHeight="1" thickBot="1" x14ac:dyDescent="0.3">
      <c r="A61" s="33" t="s">
        <v>108</v>
      </c>
      <c r="C61" s="35" t="s">
        <v>15</v>
      </c>
      <c r="D61" s="36"/>
      <c r="E61" s="36"/>
      <c r="F61" s="36"/>
      <c r="G61" s="36"/>
      <c r="H61" s="36"/>
      <c r="I61" s="36" t="s">
        <v>13</v>
      </c>
      <c r="J61" s="36"/>
      <c r="K61" s="36"/>
      <c r="L61" s="36"/>
      <c r="M61" s="36"/>
      <c r="N61" s="36"/>
      <c r="O61" s="36" t="s">
        <v>14</v>
      </c>
      <c r="P61" s="36"/>
      <c r="Q61" s="36"/>
      <c r="R61" s="37"/>
    </row>
    <row r="62" spans="1:20" ht="28" customHeight="1" thickBot="1" x14ac:dyDescent="0.3">
      <c r="A62" s="19" t="s">
        <v>1</v>
      </c>
      <c r="B62" s="20" t="s">
        <v>0</v>
      </c>
      <c r="C62" s="12" t="s">
        <v>2</v>
      </c>
      <c r="D62" s="13" t="s">
        <v>3</v>
      </c>
      <c r="E62" s="13" t="s">
        <v>4</v>
      </c>
      <c r="F62" s="21" t="s">
        <v>84</v>
      </c>
      <c r="G62" s="21" t="s">
        <v>34</v>
      </c>
      <c r="H62" s="13" t="s">
        <v>5</v>
      </c>
      <c r="I62" s="13" t="s">
        <v>2</v>
      </c>
      <c r="J62" s="13" t="s">
        <v>3</v>
      </c>
      <c r="K62" s="13" t="s">
        <v>4</v>
      </c>
      <c r="L62" s="21" t="s">
        <v>83</v>
      </c>
      <c r="M62" s="21" t="s">
        <v>34</v>
      </c>
      <c r="N62" s="13" t="s">
        <v>5</v>
      </c>
      <c r="O62" s="13" t="s">
        <v>2</v>
      </c>
      <c r="P62" s="13" t="s">
        <v>3</v>
      </c>
      <c r="Q62" s="13" t="s">
        <v>4</v>
      </c>
      <c r="R62" s="14" t="s">
        <v>5</v>
      </c>
    </row>
    <row r="63" spans="1:20" ht="15" customHeight="1" x14ac:dyDescent="0.25">
      <c r="A63" s="15"/>
      <c r="B63" s="16" t="s">
        <v>109</v>
      </c>
      <c r="C63" s="6"/>
      <c r="F63" s="2" t="s">
        <v>6</v>
      </c>
      <c r="H63" s="22"/>
      <c r="I63" s="6"/>
      <c r="N63" s="22"/>
      <c r="O63" s="6"/>
      <c r="R63" s="22"/>
    </row>
    <row r="64" spans="1:20" ht="15" customHeight="1" x14ac:dyDescent="0.25">
      <c r="A64" s="15"/>
      <c r="B64" s="16" t="s">
        <v>110</v>
      </c>
      <c r="C64" s="6"/>
      <c r="F64" s="2" t="s">
        <v>6</v>
      </c>
      <c r="H64" s="22"/>
      <c r="I64" s="6"/>
      <c r="N64" s="22"/>
      <c r="O64" s="6"/>
      <c r="R64" s="22"/>
    </row>
    <row r="65" spans="1:18" ht="15" customHeight="1" x14ac:dyDescent="0.25">
      <c r="A65" s="15" t="s">
        <v>133</v>
      </c>
      <c r="B65" s="16" t="s">
        <v>111</v>
      </c>
      <c r="C65" s="6">
        <v>0</v>
      </c>
      <c r="D65" s="2">
        <v>0</v>
      </c>
      <c r="E65" s="2">
        <v>0</v>
      </c>
      <c r="F65" s="2" t="s">
        <v>6</v>
      </c>
      <c r="G65" s="2">
        <v>0</v>
      </c>
      <c r="H65" s="22"/>
      <c r="I65" s="6">
        <v>0</v>
      </c>
      <c r="J65" s="2">
        <v>0</v>
      </c>
      <c r="K65" s="2">
        <v>0</v>
      </c>
      <c r="L65" s="2">
        <v>0</v>
      </c>
      <c r="M65" s="2">
        <v>0</v>
      </c>
      <c r="N65" s="22"/>
      <c r="O65" s="6">
        <v>0</v>
      </c>
      <c r="P65" s="2">
        <v>0</v>
      </c>
      <c r="Q65" s="2">
        <v>0</v>
      </c>
      <c r="R65" s="22"/>
    </row>
    <row r="66" spans="1:18" ht="15" customHeight="1" x14ac:dyDescent="0.25">
      <c r="A66" s="15"/>
      <c r="B66" s="16" t="s">
        <v>112</v>
      </c>
      <c r="C66" s="6"/>
      <c r="F66" s="2" t="s">
        <v>6</v>
      </c>
      <c r="H66" s="22"/>
      <c r="I66" s="6"/>
      <c r="N66" s="22"/>
      <c r="O66" s="6"/>
      <c r="R66" s="22"/>
    </row>
    <row r="67" spans="1:18" ht="15" customHeight="1" x14ac:dyDescent="0.25">
      <c r="A67" s="15"/>
      <c r="B67" s="16" t="s">
        <v>113</v>
      </c>
      <c r="C67" s="6"/>
      <c r="F67" s="2" t="s">
        <v>6</v>
      </c>
      <c r="H67" s="22"/>
      <c r="I67" s="6"/>
      <c r="N67" s="22"/>
      <c r="O67" s="6"/>
      <c r="R67" s="22"/>
    </row>
    <row r="68" spans="1:18" ht="15" customHeight="1" x14ac:dyDescent="0.25">
      <c r="A68" s="15"/>
      <c r="B68" s="16" t="s">
        <v>114</v>
      </c>
      <c r="C68" s="6"/>
      <c r="F68" s="2" t="s">
        <v>6</v>
      </c>
      <c r="H68" s="22"/>
      <c r="I68" s="6"/>
      <c r="N68" s="22"/>
      <c r="O68" s="6"/>
      <c r="R68" s="22"/>
    </row>
    <row r="69" spans="1:18" ht="15" customHeight="1" x14ac:dyDescent="0.25">
      <c r="A69" s="15" t="s">
        <v>133</v>
      </c>
      <c r="B69" s="16" t="s">
        <v>115</v>
      </c>
      <c r="C69" s="6">
        <v>0</v>
      </c>
      <c r="D69" s="2">
        <v>0</v>
      </c>
      <c r="E69" s="2" t="s">
        <v>6</v>
      </c>
      <c r="F69" s="2">
        <v>0</v>
      </c>
      <c r="G69" s="2">
        <v>0</v>
      </c>
      <c r="H69" s="22"/>
      <c r="I69" s="6">
        <v>0</v>
      </c>
      <c r="J69" s="2">
        <v>0</v>
      </c>
      <c r="K69" s="2" t="s">
        <v>6</v>
      </c>
      <c r="L69" s="2" t="s">
        <v>104</v>
      </c>
      <c r="N69" s="22"/>
      <c r="O69" s="6">
        <v>0</v>
      </c>
      <c r="P69" s="2">
        <v>0</v>
      </c>
      <c r="Q69" s="2" t="s">
        <v>6</v>
      </c>
      <c r="R69" s="22"/>
    </row>
    <row r="70" spans="1:18" ht="15" customHeight="1" x14ac:dyDescent="0.25">
      <c r="A70" s="15"/>
      <c r="B70" s="16" t="s">
        <v>116</v>
      </c>
      <c r="C70" s="6"/>
      <c r="F70" s="2" t="s">
        <v>6</v>
      </c>
      <c r="H70" s="22"/>
      <c r="I70" s="6"/>
      <c r="N70" s="22"/>
      <c r="O70" s="6"/>
      <c r="R70" s="22"/>
    </row>
    <row r="71" spans="1:18" ht="15" customHeight="1" x14ac:dyDescent="0.25">
      <c r="A71" s="15"/>
      <c r="B71" s="16" t="s">
        <v>117</v>
      </c>
      <c r="C71" s="6"/>
      <c r="F71" s="2" t="s">
        <v>6</v>
      </c>
      <c r="H71" s="22"/>
      <c r="I71" s="6"/>
      <c r="N71" s="22"/>
      <c r="O71" s="6"/>
      <c r="R71" s="22"/>
    </row>
    <row r="72" spans="1:18" ht="15" customHeight="1" x14ac:dyDescent="0.25">
      <c r="A72" s="15"/>
      <c r="B72" s="16" t="s">
        <v>118</v>
      </c>
      <c r="C72" s="6"/>
      <c r="F72" s="2" t="s">
        <v>6</v>
      </c>
      <c r="H72" s="22"/>
      <c r="I72" s="6"/>
      <c r="N72" s="22"/>
      <c r="O72" s="6"/>
      <c r="R72" s="22"/>
    </row>
    <row r="73" spans="1:18" ht="15" customHeight="1" x14ac:dyDescent="0.25">
      <c r="A73" s="15"/>
      <c r="B73" s="16" t="s">
        <v>119</v>
      </c>
      <c r="C73" s="6"/>
      <c r="F73" s="2" t="s">
        <v>6</v>
      </c>
      <c r="H73" s="22"/>
      <c r="I73" s="6"/>
      <c r="N73" s="22"/>
      <c r="O73" s="6"/>
      <c r="R73" s="22"/>
    </row>
    <row r="74" spans="1:18" ht="15" customHeight="1" x14ac:dyDescent="0.25">
      <c r="A74" s="15"/>
      <c r="B74" s="16" t="s">
        <v>120</v>
      </c>
      <c r="C74" s="6"/>
      <c r="F74" s="2" t="s">
        <v>6</v>
      </c>
      <c r="H74" s="22"/>
      <c r="I74" s="6"/>
      <c r="N74" s="22"/>
      <c r="O74" s="6"/>
      <c r="R74" s="22"/>
    </row>
    <row r="75" spans="1:18" ht="15" customHeight="1" x14ac:dyDescent="0.25">
      <c r="A75" s="15" t="s">
        <v>133</v>
      </c>
      <c r="B75" s="16" t="s">
        <v>121</v>
      </c>
      <c r="C75" s="6">
        <v>0</v>
      </c>
      <c r="D75" s="2">
        <v>0</v>
      </c>
      <c r="E75" s="2">
        <v>0</v>
      </c>
      <c r="F75" s="2">
        <v>0</v>
      </c>
      <c r="G75" s="2">
        <v>0</v>
      </c>
      <c r="H75" s="22"/>
      <c r="I75" s="6">
        <v>0</v>
      </c>
      <c r="J75" s="2">
        <v>0</v>
      </c>
      <c r="K75" s="2">
        <v>0</v>
      </c>
      <c r="L75" s="2" t="s">
        <v>81</v>
      </c>
      <c r="M75" s="2">
        <v>0</v>
      </c>
      <c r="N75" s="22"/>
      <c r="O75" s="6">
        <v>0</v>
      </c>
      <c r="P75" s="2">
        <v>0</v>
      </c>
      <c r="Q75" s="2">
        <v>0</v>
      </c>
      <c r="R75" s="22"/>
    </row>
    <row r="76" spans="1:18" ht="15" customHeight="1" x14ac:dyDescent="0.25">
      <c r="A76" s="15"/>
      <c r="B76" s="16" t="s">
        <v>122</v>
      </c>
      <c r="C76" s="6"/>
      <c r="F76" s="2" t="s">
        <v>6</v>
      </c>
      <c r="H76" s="22"/>
      <c r="I76" s="6"/>
      <c r="N76" s="22"/>
      <c r="O76" s="6"/>
      <c r="R76" s="22"/>
    </row>
    <row r="77" spans="1:18" ht="15" customHeight="1" x14ac:dyDescent="0.25">
      <c r="A77" s="15"/>
      <c r="B77" s="16" t="s">
        <v>123</v>
      </c>
      <c r="C77" s="6"/>
      <c r="F77" s="2" t="s">
        <v>6</v>
      </c>
      <c r="H77" s="22"/>
      <c r="I77" s="6"/>
      <c r="N77" s="22"/>
      <c r="O77" s="6"/>
      <c r="R77" s="22"/>
    </row>
    <row r="78" spans="1:18" ht="15" customHeight="1" x14ac:dyDescent="0.25">
      <c r="A78" s="15" t="s">
        <v>133</v>
      </c>
      <c r="B78" s="16" t="s">
        <v>124</v>
      </c>
      <c r="C78" s="6">
        <v>0</v>
      </c>
      <c r="D78" s="2">
        <v>0</v>
      </c>
      <c r="E78" s="2">
        <v>0</v>
      </c>
      <c r="F78" s="2">
        <v>0</v>
      </c>
      <c r="G78" s="2">
        <v>0</v>
      </c>
      <c r="H78" s="22"/>
      <c r="I78" s="6">
        <v>0</v>
      </c>
      <c r="J78" s="2">
        <v>0</v>
      </c>
      <c r="K78" s="2">
        <v>0</v>
      </c>
      <c r="L78" s="2" t="s">
        <v>104</v>
      </c>
      <c r="M78" s="2">
        <v>0</v>
      </c>
      <c r="N78" s="22"/>
      <c r="O78" s="6">
        <v>0</v>
      </c>
      <c r="P78" s="2">
        <v>0</v>
      </c>
      <c r="Q78" s="2">
        <v>0</v>
      </c>
      <c r="R78" s="22"/>
    </row>
    <row r="79" spans="1:18" ht="15" customHeight="1" x14ac:dyDescent="0.25">
      <c r="A79" s="15"/>
      <c r="B79" s="16" t="s">
        <v>125</v>
      </c>
      <c r="C79" s="6"/>
      <c r="F79" s="2" t="s">
        <v>6</v>
      </c>
      <c r="H79" s="22"/>
      <c r="I79" s="6"/>
      <c r="N79" s="22"/>
      <c r="O79" s="6"/>
      <c r="R79" s="22"/>
    </row>
    <row r="80" spans="1:18" ht="15" customHeight="1" x14ac:dyDescent="0.25">
      <c r="A80" s="15"/>
      <c r="B80" s="16" t="s">
        <v>126</v>
      </c>
      <c r="C80" s="6"/>
      <c r="F80" s="2" t="s">
        <v>6</v>
      </c>
      <c r="H80" s="22"/>
      <c r="I80" s="6"/>
      <c r="N80" s="22"/>
      <c r="O80" s="6"/>
      <c r="R80" s="22"/>
    </row>
    <row r="81" spans="1:20" ht="15" customHeight="1" x14ac:dyDescent="0.25">
      <c r="A81" s="15" t="s">
        <v>133</v>
      </c>
      <c r="B81" s="16" t="s">
        <v>127</v>
      </c>
      <c r="C81" s="6">
        <v>0</v>
      </c>
      <c r="D81" s="2">
        <v>0</v>
      </c>
      <c r="E81" s="2" t="s">
        <v>6</v>
      </c>
      <c r="F81" s="2" t="s">
        <v>6</v>
      </c>
      <c r="G81" s="2" t="s">
        <v>134</v>
      </c>
      <c r="H81" s="22"/>
      <c r="I81" s="6">
        <v>0</v>
      </c>
      <c r="J81" s="2">
        <v>0</v>
      </c>
      <c r="K81" s="2" t="s">
        <v>6</v>
      </c>
      <c r="L81" s="2" t="s">
        <v>81</v>
      </c>
      <c r="M81" s="2" t="s">
        <v>6</v>
      </c>
      <c r="N81" s="22"/>
      <c r="O81" s="6">
        <v>0</v>
      </c>
      <c r="P81" s="2">
        <v>0</v>
      </c>
      <c r="Q81" s="2" t="s">
        <v>6</v>
      </c>
      <c r="R81" s="22"/>
    </row>
    <row r="82" spans="1:20" ht="15" customHeight="1" x14ac:dyDescent="0.25">
      <c r="A82" s="15"/>
      <c r="B82" s="16" t="s">
        <v>128</v>
      </c>
      <c r="C82" s="6"/>
      <c r="F82" s="2" t="s">
        <v>6</v>
      </c>
      <c r="H82" s="22"/>
      <c r="I82" s="6"/>
      <c r="N82" s="22"/>
      <c r="O82" s="6"/>
      <c r="R82" s="22"/>
    </row>
    <row r="83" spans="1:20" ht="15" customHeight="1" x14ac:dyDescent="0.25">
      <c r="A83" s="15"/>
      <c r="B83" s="16" t="s">
        <v>129</v>
      </c>
      <c r="C83" s="6"/>
      <c r="F83" s="2" t="s">
        <v>6</v>
      </c>
      <c r="H83" s="22"/>
      <c r="I83" s="6"/>
      <c r="N83" s="22"/>
      <c r="O83" s="6"/>
      <c r="R83" s="22"/>
    </row>
    <row r="84" spans="1:20" ht="15" customHeight="1" x14ac:dyDescent="0.25">
      <c r="A84" s="15"/>
      <c r="B84" s="16" t="s">
        <v>130</v>
      </c>
      <c r="C84" s="6"/>
      <c r="F84" s="2" t="s">
        <v>6</v>
      </c>
      <c r="H84" s="22"/>
      <c r="I84" s="6"/>
      <c r="N84" s="22"/>
      <c r="O84" s="6"/>
      <c r="R84" s="22"/>
    </row>
    <row r="85" spans="1:20" ht="15" customHeight="1" x14ac:dyDescent="0.25">
      <c r="A85" s="15"/>
      <c r="B85" s="16" t="s">
        <v>131</v>
      </c>
      <c r="C85" s="6"/>
      <c r="F85" s="2" t="s">
        <v>6</v>
      </c>
      <c r="H85" s="22"/>
      <c r="I85" s="6"/>
      <c r="N85" s="22"/>
      <c r="O85" s="6"/>
      <c r="R85" s="22"/>
    </row>
    <row r="86" spans="1:20" ht="15" customHeight="1" x14ac:dyDescent="0.25">
      <c r="A86" s="15"/>
      <c r="B86" s="16" t="s">
        <v>132</v>
      </c>
      <c r="C86" s="6"/>
      <c r="F86" s="2" t="s">
        <v>6</v>
      </c>
      <c r="H86" s="22"/>
      <c r="I86" s="6"/>
      <c r="N86" s="22"/>
      <c r="O86" s="6"/>
      <c r="R86" s="22"/>
    </row>
    <row r="87" spans="1:20" ht="15" customHeight="1" thickBot="1" x14ac:dyDescent="0.3">
      <c r="A87" s="17"/>
      <c r="B87" s="18"/>
      <c r="C87" s="7"/>
      <c r="D87" s="8"/>
      <c r="E87" s="8"/>
      <c r="F87" s="8"/>
      <c r="G87" s="8"/>
      <c r="H87" s="23"/>
      <c r="I87" s="7"/>
      <c r="J87" s="8"/>
      <c r="K87" s="8"/>
      <c r="L87" s="8"/>
      <c r="M87" s="8"/>
      <c r="N87" s="23"/>
      <c r="O87" s="7"/>
      <c r="P87" s="8"/>
      <c r="Q87" s="8"/>
      <c r="R87" s="23"/>
    </row>
    <row r="88" spans="1:20" ht="15" customHeight="1" thickBot="1" x14ac:dyDescent="0.3"/>
    <row r="89" spans="1:20" ht="15" customHeight="1" x14ac:dyDescent="0.25">
      <c r="A89" s="2"/>
      <c r="B89" s="3" t="s">
        <v>10</v>
      </c>
      <c r="C89" s="4">
        <f t="shared" ref="C89:R89" si="33">COUNTIF(C97:C114,"A")</f>
        <v>0</v>
      </c>
      <c r="D89" s="5">
        <f t="shared" si="33"/>
        <v>0</v>
      </c>
      <c r="E89" s="5">
        <f t="shared" si="33"/>
        <v>0</v>
      </c>
      <c r="F89" s="5">
        <f t="shared" si="33"/>
        <v>16</v>
      </c>
      <c r="G89" s="5">
        <f t="shared" si="33"/>
        <v>2</v>
      </c>
      <c r="H89" s="5">
        <f t="shared" si="33"/>
        <v>0</v>
      </c>
      <c r="I89" s="5">
        <f t="shared" si="33"/>
        <v>0</v>
      </c>
      <c r="J89" s="5">
        <f t="shared" si="33"/>
        <v>0</v>
      </c>
      <c r="K89" s="5">
        <f t="shared" si="33"/>
        <v>0</v>
      </c>
      <c r="L89" s="5">
        <f t="shared" si="33"/>
        <v>0</v>
      </c>
      <c r="M89" s="5">
        <f t="shared" si="33"/>
        <v>2</v>
      </c>
      <c r="N89" s="5">
        <f t="shared" si="33"/>
        <v>0</v>
      </c>
      <c r="O89" s="5">
        <f t="shared" si="33"/>
        <v>0</v>
      </c>
      <c r="P89" s="5">
        <f t="shared" si="33"/>
        <v>0</v>
      </c>
      <c r="Q89" s="5">
        <f t="shared" si="33"/>
        <v>0</v>
      </c>
      <c r="R89" s="10">
        <f t="shared" si="33"/>
        <v>0</v>
      </c>
      <c r="S89" s="26" t="s">
        <v>74</v>
      </c>
    </row>
    <row r="90" spans="1:20" ht="15" customHeight="1" x14ac:dyDescent="0.25">
      <c r="A90" s="25" t="s">
        <v>52</v>
      </c>
      <c r="B90" s="3" t="s">
        <v>11</v>
      </c>
      <c r="C90" s="28">
        <f>C89/C92</f>
        <v>0</v>
      </c>
      <c r="D90" s="29">
        <f t="shared" ref="D90:H90" si="34">D89/D92</f>
        <v>0</v>
      </c>
      <c r="E90" s="29">
        <f t="shared" si="34"/>
        <v>0</v>
      </c>
      <c r="F90" s="29">
        <f t="shared" si="34"/>
        <v>1</v>
      </c>
      <c r="G90" s="29">
        <f t="shared" si="34"/>
        <v>1</v>
      </c>
      <c r="H90" s="29" t="e">
        <f t="shared" si="34"/>
        <v>#DIV/0!</v>
      </c>
      <c r="I90" s="29">
        <f>I89/I92</f>
        <v>0</v>
      </c>
      <c r="J90" s="29">
        <f t="shared" ref="J90:N90" si="35">J89/J92</f>
        <v>0</v>
      </c>
      <c r="K90" s="29">
        <f t="shared" si="35"/>
        <v>0</v>
      </c>
      <c r="L90" s="29">
        <f t="shared" si="35"/>
        <v>0</v>
      </c>
      <c r="M90" s="29">
        <f t="shared" si="35"/>
        <v>0.66666666666666663</v>
      </c>
      <c r="N90" s="29" t="e">
        <f t="shared" si="35"/>
        <v>#DIV/0!</v>
      </c>
      <c r="O90" s="29">
        <f>O89/O92</f>
        <v>0</v>
      </c>
      <c r="P90" s="29">
        <f t="shared" ref="P90:R90" si="36">P89/P92</f>
        <v>0</v>
      </c>
      <c r="Q90" s="29">
        <f t="shared" si="36"/>
        <v>0</v>
      </c>
      <c r="R90" s="30" t="e">
        <f t="shared" si="36"/>
        <v>#DIV/0!</v>
      </c>
      <c r="S90" s="2" t="s">
        <v>6</v>
      </c>
      <c r="T90" s="1" t="s">
        <v>75</v>
      </c>
    </row>
    <row r="91" spans="1:20" ht="15" customHeight="1" x14ac:dyDescent="0.25">
      <c r="A91" s="9">
        <f>COUNTA(A97:A114)/C94</f>
        <v>0.1875</v>
      </c>
      <c r="B91" s="3" t="s">
        <v>12</v>
      </c>
      <c r="C91" s="28">
        <f>C89/$C94</f>
        <v>0</v>
      </c>
      <c r="D91" s="29">
        <f>D89/$C94</f>
        <v>0</v>
      </c>
      <c r="E91" s="29">
        <f t="shared" ref="E91:R91" si="37">E89/$C94</f>
        <v>0</v>
      </c>
      <c r="F91" s="29">
        <f t="shared" si="37"/>
        <v>1</v>
      </c>
      <c r="G91" s="29">
        <f t="shared" si="37"/>
        <v>0.125</v>
      </c>
      <c r="H91" s="29">
        <f t="shared" si="37"/>
        <v>0</v>
      </c>
      <c r="I91" s="29">
        <f t="shared" si="37"/>
        <v>0</v>
      </c>
      <c r="J91" s="29">
        <f t="shared" si="37"/>
        <v>0</v>
      </c>
      <c r="K91" s="29">
        <f t="shared" si="37"/>
        <v>0</v>
      </c>
      <c r="L91" s="29">
        <f t="shared" si="37"/>
        <v>0</v>
      </c>
      <c r="M91" s="29">
        <f t="shared" si="37"/>
        <v>0.125</v>
      </c>
      <c r="N91" s="29">
        <f t="shared" si="37"/>
        <v>0</v>
      </c>
      <c r="O91" s="29">
        <f t="shared" si="37"/>
        <v>0</v>
      </c>
      <c r="P91" s="29">
        <f t="shared" si="37"/>
        <v>0</v>
      </c>
      <c r="Q91" s="29">
        <f t="shared" si="37"/>
        <v>0</v>
      </c>
      <c r="R91" s="30">
        <f t="shared" si="37"/>
        <v>0</v>
      </c>
      <c r="S91" s="2" t="s">
        <v>76</v>
      </c>
      <c r="T91" s="1" t="s">
        <v>77</v>
      </c>
    </row>
    <row r="92" spans="1:20" ht="15" customHeight="1" x14ac:dyDescent="0.25">
      <c r="A92" s="24" t="s">
        <v>71</v>
      </c>
      <c r="B92" s="3" t="s">
        <v>8</v>
      </c>
      <c r="C92" s="6">
        <f t="shared" ref="C92:R92" si="38">COUNTA(C97:C114)</f>
        <v>3</v>
      </c>
      <c r="D92" s="2">
        <f t="shared" si="38"/>
        <v>3</v>
      </c>
      <c r="E92" s="2">
        <f t="shared" si="38"/>
        <v>3</v>
      </c>
      <c r="F92" s="2">
        <f t="shared" si="38"/>
        <v>16</v>
      </c>
      <c r="G92" s="2">
        <f t="shared" si="38"/>
        <v>2</v>
      </c>
      <c r="H92" s="2">
        <f t="shared" si="38"/>
        <v>0</v>
      </c>
      <c r="I92" s="2">
        <f t="shared" si="38"/>
        <v>3</v>
      </c>
      <c r="J92" s="2">
        <f t="shared" si="38"/>
        <v>3</v>
      </c>
      <c r="K92" s="2">
        <f t="shared" si="38"/>
        <v>3</v>
      </c>
      <c r="L92" s="2">
        <f t="shared" si="38"/>
        <v>3</v>
      </c>
      <c r="M92" s="2">
        <f t="shared" si="38"/>
        <v>3</v>
      </c>
      <c r="N92" s="2">
        <f t="shared" si="38"/>
        <v>0</v>
      </c>
      <c r="O92" s="2">
        <f t="shared" si="38"/>
        <v>3</v>
      </c>
      <c r="P92" s="2">
        <f t="shared" si="38"/>
        <v>3</v>
      </c>
      <c r="Q92" s="2">
        <f t="shared" si="38"/>
        <v>3</v>
      </c>
      <c r="R92" s="11">
        <f t="shared" si="38"/>
        <v>0</v>
      </c>
      <c r="S92" s="2">
        <v>0</v>
      </c>
      <c r="T92" s="1" t="s">
        <v>78</v>
      </c>
    </row>
    <row r="93" spans="1:20" ht="15" customHeight="1" x14ac:dyDescent="0.25">
      <c r="A93" s="33" t="s">
        <v>25</v>
      </c>
      <c r="B93" s="3" t="s">
        <v>9</v>
      </c>
      <c r="C93" s="28">
        <f>C92/$C94</f>
        <v>0.1875</v>
      </c>
      <c r="D93" s="29">
        <f t="shared" ref="D93:R93" si="39">D92/$C94</f>
        <v>0.1875</v>
      </c>
      <c r="E93" s="29">
        <f t="shared" si="39"/>
        <v>0.1875</v>
      </c>
      <c r="F93" s="29">
        <f t="shared" si="39"/>
        <v>1</v>
      </c>
      <c r="G93" s="29">
        <f t="shared" si="39"/>
        <v>0.125</v>
      </c>
      <c r="H93" s="29">
        <f t="shared" si="39"/>
        <v>0</v>
      </c>
      <c r="I93" s="29">
        <f t="shared" si="39"/>
        <v>0.1875</v>
      </c>
      <c r="J93" s="29">
        <f t="shared" si="39"/>
        <v>0.1875</v>
      </c>
      <c r="K93" s="29">
        <f t="shared" si="39"/>
        <v>0.1875</v>
      </c>
      <c r="L93" s="29">
        <f t="shared" si="39"/>
        <v>0.1875</v>
      </c>
      <c r="M93" s="29">
        <f t="shared" si="39"/>
        <v>0.1875</v>
      </c>
      <c r="N93" s="29">
        <f t="shared" si="39"/>
        <v>0</v>
      </c>
      <c r="O93" s="29">
        <f t="shared" si="39"/>
        <v>0.1875</v>
      </c>
      <c r="P93" s="29">
        <f t="shared" si="39"/>
        <v>0.1875</v>
      </c>
      <c r="Q93" s="29">
        <f t="shared" si="39"/>
        <v>0.1875</v>
      </c>
      <c r="R93" s="30">
        <f t="shared" si="39"/>
        <v>0</v>
      </c>
      <c r="S93" s="2" t="s">
        <v>81</v>
      </c>
      <c r="T93" s="1" t="s">
        <v>82</v>
      </c>
    </row>
    <row r="94" spans="1:20" ht="15" customHeight="1" thickBot="1" x14ac:dyDescent="0.3">
      <c r="A94" s="24" t="s">
        <v>72</v>
      </c>
      <c r="B94" s="3" t="s">
        <v>7</v>
      </c>
      <c r="C94" s="7">
        <f>COUNTA($B97:$B114)</f>
        <v>16</v>
      </c>
      <c r="D94" s="8"/>
      <c r="E94" s="8"/>
      <c r="F94" s="8"/>
      <c r="G94" s="8"/>
      <c r="H94" s="31"/>
      <c r="I94" s="8"/>
      <c r="J94" s="8"/>
      <c r="K94" s="8"/>
      <c r="L94" s="8"/>
      <c r="M94" s="8"/>
      <c r="N94" s="31"/>
      <c r="O94" s="8"/>
      <c r="P94" s="8"/>
      <c r="Q94" s="8"/>
      <c r="R94" s="18"/>
      <c r="S94" s="2" t="s">
        <v>134</v>
      </c>
      <c r="T94" s="1" t="s">
        <v>135</v>
      </c>
    </row>
    <row r="95" spans="1:20" ht="15" customHeight="1" thickBot="1" x14ac:dyDescent="0.3">
      <c r="A95" s="33" t="s">
        <v>136</v>
      </c>
      <c r="C95" s="35" t="s">
        <v>15</v>
      </c>
      <c r="D95" s="36"/>
      <c r="E95" s="36"/>
      <c r="F95" s="36"/>
      <c r="G95" s="36"/>
      <c r="H95" s="36"/>
      <c r="I95" s="36" t="s">
        <v>13</v>
      </c>
      <c r="J95" s="36"/>
      <c r="K95" s="36"/>
      <c r="L95" s="36"/>
      <c r="M95" s="36"/>
      <c r="N95" s="36"/>
      <c r="O95" s="36" t="s">
        <v>14</v>
      </c>
      <c r="P95" s="36"/>
      <c r="Q95" s="36"/>
      <c r="R95" s="37"/>
    </row>
    <row r="96" spans="1:20" ht="28" customHeight="1" thickBot="1" x14ac:dyDescent="0.3">
      <c r="A96" s="19" t="s">
        <v>1</v>
      </c>
      <c r="B96" s="20" t="s">
        <v>0</v>
      </c>
      <c r="C96" s="12" t="s">
        <v>2</v>
      </c>
      <c r="D96" s="13" t="s">
        <v>3</v>
      </c>
      <c r="E96" s="13" t="s">
        <v>4</v>
      </c>
      <c r="F96" s="21" t="s">
        <v>84</v>
      </c>
      <c r="G96" s="21" t="s">
        <v>34</v>
      </c>
      <c r="H96" s="13" t="s">
        <v>5</v>
      </c>
      <c r="I96" s="13" t="s">
        <v>2</v>
      </c>
      <c r="J96" s="13" t="s">
        <v>3</v>
      </c>
      <c r="K96" s="13" t="s">
        <v>4</v>
      </c>
      <c r="L96" s="21" t="s">
        <v>83</v>
      </c>
      <c r="M96" s="21" t="s">
        <v>34</v>
      </c>
      <c r="N96" s="13" t="s">
        <v>5</v>
      </c>
      <c r="O96" s="13" t="s">
        <v>2</v>
      </c>
      <c r="P96" s="13" t="s">
        <v>3</v>
      </c>
      <c r="Q96" s="13" t="s">
        <v>4</v>
      </c>
      <c r="R96" s="14" t="s">
        <v>5</v>
      </c>
    </row>
    <row r="97" spans="1:18" ht="15" customHeight="1" x14ac:dyDescent="0.25">
      <c r="A97" s="15"/>
      <c r="B97" s="16" t="s">
        <v>16</v>
      </c>
      <c r="C97" s="6"/>
      <c r="F97" s="2" t="s">
        <v>6</v>
      </c>
      <c r="H97" s="22"/>
      <c r="I97" s="6"/>
      <c r="N97" s="22"/>
      <c r="O97" s="6"/>
      <c r="R97" s="22"/>
    </row>
    <row r="98" spans="1:18" ht="15" customHeight="1" x14ac:dyDescent="0.25">
      <c r="A98" s="38" t="s">
        <v>434</v>
      </c>
      <c r="B98" s="16" t="s">
        <v>17</v>
      </c>
      <c r="C98" s="6">
        <v>0</v>
      </c>
      <c r="D98" s="2">
        <v>0</v>
      </c>
      <c r="E98" s="2">
        <v>0</v>
      </c>
      <c r="F98" s="2" t="s">
        <v>6</v>
      </c>
      <c r="H98" s="22"/>
      <c r="I98" s="6">
        <v>0</v>
      </c>
      <c r="J98" s="2">
        <v>0</v>
      </c>
      <c r="K98" s="2">
        <v>0</v>
      </c>
      <c r="L98" s="2">
        <v>0</v>
      </c>
      <c r="M98" s="2">
        <v>0</v>
      </c>
      <c r="N98" s="22"/>
      <c r="O98" s="6">
        <v>0</v>
      </c>
      <c r="P98" s="2">
        <v>0</v>
      </c>
      <c r="Q98" s="2">
        <v>0</v>
      </c>
      <c r="R98" s="22"/>
    </row>
    <row r="99" spans="1:18" ht="15" customHeight="1" x14ac:dyDescent="0.25">
      <c r="A99" s="38" t="s">
        <v>434</v>
      </c>
      <c r="B99" s="16" t="s">
        <v>18</v>
      </c>
      <c r="C99" s="6">
        <v>0</v>
      </c>
      <c r="D99" s="2">
        <v>0</v>
      </c>
      <c r="E99" s="2">
        <v>0</v>
      </c>
      <c r="F99" s="2" t="s">
        <v>6</v>
      </c>
      <c r="G99" s="2" t="s">
        <v>6</v>
      </c>
      <c r="H99" s="22"/>
      <c r="I99" s="6">
        <v>0</v>
      </c>
      <c r="J99" s="2">
        <v>0</v>
      </c>
      <c r="K99" s="2">
        <v>0</v>
      </c>
      <c r="L99" s="2">
        <v>0</v>
      </c>
      <c r="M99" s="2" t="s">
        <v>6</v>
      </c>
      <c r="N99" s="22"/>
      <c r="O99" s="6">
        <v>0</v>
      </c>
      <c r="P99" s="2">
        <v>0</v>
      </c>
      <c r="Q99" s="2">
        <v>0</v>
      </c>
      <c r="R99" s="22"/>
    </row>
    <row r="100" spans="1:18" ht="15" customHeight="1" x14ac:dyDescent="0.25">
      <c r="A100" s="15"/>
      <c r="B100" s="16" t="s">
        <v>19</v>
      </c>
      <c r="C100" s="6"/>
      <c r="F100" s="2" t="s">
        <v>6</v>
      </c>
      <c r="H100" s="22"/>
      <c r="I100" s="6"/>
      <c r="N100" s="22"/>
      <c r="O100" s="6"/>
      <c r="R100" s="22"/>
    </row>
    <row r="101" spans="1:18" ht="15" customHeight="1" x14ac:dyDescent="0.25">
      <c r="A101" s="15"/>
      <c r="B101" s="16" t="s">
        <v>20</v>
      </c>
      <c r="C101" s="6"/>
      <c r="F101" s="2" t="s">
        <v>6</v>
      </c>
      <c r="H101" s="22"/>
      <c r="I101" s="6"/>
      <c r="N101" s="22"/>
      <c r="O101" s="6"/>
      <c r="R101" s="22"/>
    </row>
    <row r="102" spans="1:18" ht="15" customHeight="1" x14ac:dyDescent="0.25">
      <c r="A102" s="15"/>
      <c r="B102" s="16" t="s">
        <v>21</v>
      </c>
      <c r="C102" s="6"/>
      <c r="F102" s="2" t="s">
        <v>6</v>
      </c>
      <c r="H102" s="22"/>
      <c r="I102" s="6"/>
      <c r="N102" s="22"/>
      <c r="O102" s="6"/>
      <c r="R102" s="22"/>
    </row>
    <row r="103" spans="1:18" ht="15" customHeight="1" x14ac:dyDescent="0.25">
      <c r="A103" s="15"/>
      <c r="B103" s="16" t="s">
        <v>22</v>
      </c>
      <c r="C103" s="6"/>
      <c r="F103" s="2" t="s">
        <v>6</v>
      </c>
      <c r="H103" s="22"/>
      <c r="I103" s="6"/>
      <c r="N103" s="22"/>
      <c r="O103" s="6"/>
      <c r="R103" s="22"/>
    </row>
    <row r="104" spans="1:18" ht="15" customHeight="1" x14ac:dyDescent="0.25">
      <c r="A104" s="15"/>
      <c r="B104" s="16" t="s">
        <v>23</v>
      </c>
      <c r="C104" s="6"/>
      <c r="F104" s="2" t="s">
        <v>6</v>
      </c>
      <c r="H104" s="22"/>
      <c r="I104" s="6"/>
      <c r="N104" s="22"/>
      <c r="O104" s="6"/>
      <c r="R104" s="22"/>
    </row>
    <row r="105" spans="1:18" ht="15" customHeight="1" x14ac:dyDescent="0.25">
      <c r="A105" s="15"/>
      <c r="B105" s="16" t="s">
        <v>26</v>
      </c>
      <c r="C105" s="6"/>
      <c r="F105" s="2" t="s">
        <v>6</v>
      </c>
      <c r="H105" s="22"/>
      <c r="I105" s="6"/>
      <c r="N105" s="22"/>
      <c r="O105" s="6"/>
      <c r="R105" s="22"/>
    </row>
    <row r="106" spans="1:18" ht="15" customHeight="1" x14ac:dyDescent="0.25">
      <c r="A106" s="15"/>
      <c r="B106" s="16" t="s">
        <v>27</v>
      </c>
      <c r="C106" s="6"/>
      <c r="F106" s="2" t="s">
        <v>6</v>
      </c>
      <c r="H106" s="22"/>
      <c r="I106" s="6"/>
      <c r="N106" s="22"/>
      <c r="O106" s="6"/>
      <c r="R106" s="22"/>
    </row>
    <row r="107" spans="1:18" ht="15" customHeight="1" x14ac:dyDescent="0.25">
      <c r="A107" s="15"/>
      <c r="B107" s="16" t="s">
        <v>28</v>
      </c>
      <c r="C107" s="6"/>
      <c r="F107" s="2" t="s">
        <v>6</v>
      </c>
      <c r="H107" s="22"/>
      <c r="I107" s="6"/>
      <c r="N107" s="22"/>
      <c r="O107" s="6"/>
      <c r="R107" s="22"/>
    </row>
    <row r="108" spans="1:18" ht="15" customHeight="1" x14ac:dyDescent="0.25">
      <c r="A108" s="15"/>
      <c r="B108" s="16" t="s">
        <v>29</v>
      </c>
      <c r="C108" s="6"/>
      <c r="F108" s="2" t="s">
        <v>6</v>
      </c>
      <c r="H108" s="22"/>
      <c r="I108" s="6"/>
      <c r="N108" s="22"/>
      <c r="O108" s="6"/>
      <c r="R108" s="22"/>
    </row>
    <row r="109" spans="1:18" ht="15" customHeight="1" x14ac:dyDescent="0.25">
      <c r="A109" s="15"/>
      <c r="B109" s="16" t="s">
        <v>30</v>
      </c>
      <c r="C109" s="6"/>
      <c r="F109" s="2" t="s">
        <v>6</v>
      </c>
      <c r="H109" s="22"/>
      <c r="I109" s="6"/>
      <c r="N109" s="22"/>
      <c r="O109" s="6"/>
      <c r="R109" s="22"/>
    </row>
    <row r="110" spans="1:18" ht="15" customHeight="1" x14ac:dyDescent="0.25">
      <c r="A110" s="15"/>
      <c r="B110" s="16" t="s">
        <v>31</v>
      </c>
      <c r="C110" s="6"/>
      <c r="F110" s="2" t="s">
        <v>6</v>
      </c>
      <c r="H110" s="22"/>
      <c r="I110" s="6"/>
      <c r="N110" s="22"/>
      <c r="O110" s="6"/>
      <c r="R110" s="22"/>
    </row>
    <row r="111" spans="1:18" ht="15" customHeight="1" x14ac:dyDescent="0.25">
      <c r="A111" s="38" t="s">
        <v>24</v>
      </c>
      <c r="B111" s="16" t="s">
        <v>32</v>
      </c>
      <c r="C111" s="6">
        <v>0</v>
      </c>
      <c r="D111" s="2">
        <v>0</v>
      </c>
      <c r="E111" s="2">
        <v>0</v>
      </c>
      <c r="F111" s="2" t="s">
        <v>6</v>
      </c>
      <c r="G111" s="2" t="s">
        <v>6</v>
      </c>
      <c r="H111" s="22"/>
      <c r="I111" s="6">
        <v>0</v>
      </c>
      <c r="J111" s="2">
        <v>0</v>
      </c>
      <c r="K111" s="2">
        <v>0</v>
      </c>
      <c r="L111" s="2">
        <v>0</v>
      </c>
      <c r="M111" s="2" t="s">
        <v>6</v>
      </c>
      <c r="N111" s="22"/>
      <c r="O111" s="6">
        <v>0</v>
      </c>
      <c r="P111" s="2">
        <v>0</v>
      </c>
      <c r="Q111" s="2">
        <v>0</v>
      </c>
      <c r="R111" s="22"/>
    </row>
    <row r="112" spans="1:18" ht="15" customHeight="1" x14ac:dyDescent="0.25">
      <c r="A112" s="15"/>
      <c r="B112" s="16" t="s">
        <v>33</v>
      </c>
      <c r="C112" s="6"/>
      <c r="F112" s="2" t="s">
        <v>6</v>
      </c>
      <c r="H112" s="22"/>
      <c r="I112" s="6"/>
      <c r="N112" s="22"/>
      <c r="O112" s="6"/>
      <c r="R112" s="22"/>
    </row>
    <row r="113" spans="1:20" ht="15" customHeight="1" x14ac:dyDescent="0.25">
      <c r="A113" s="15"/>
      <c r="B113" s="16"/>
      <c r="C113" s="6"/>
      <c r="H113" s="22"/>
      <c r="I113" s="6"/>
      <c r="N113" s="22"/>
      <c r="O113" s="6"/>
      <c r="R113" s="22"/>
    </row>
    <row r="114" spans="1:20" ht="15" customHeight="1" thickBot="1" x14ac:dyDescent="0.3">
      <c r="A114" s="17"/>
      <c r="B114" s="18"/>
      <c r="C114" s="7"/>
      <c r="D114" s="8"/>
      <c r="E114" s="8"/>
      <c r="F114" s="8"/>
      <c r="G114" s="8"/>
      <c r="H114" s="23"/>
      <c r="I114" s="7"/>
      <c r="J114" s="8"/>
      <c r="K114" s="8"/>
      <c r="L114" s="8"/>
      <c r="M114" s="8"/>
      <c r="N114" s="23"/>
      <c r="O114" s="7"/>
      <c r="P114" s="8"/>
      <c r="Q114" s="8"/>
      <c r="R114" s="23"/>
    </row>
    <row r="115" spans="1:20" ht="15" customHeight="1" thickBot="1" x14ac:dyDescent="0.3"/>
    <row r="116" spans="1:20" ht="15" customHeight="1" x14ac:dyDescent="0.25">
      <c r="A116" s="2"/>
      <c r="B116" s="3" t="s">
        <v>10</v>
      </c>
      <c r="C116" s="4">
        <f>COUNTIF(C124:C148,"A")</f>
        <v>0</v>
      </c>
      <c r="D116" s="5">
        <f t="shared" ref="D116:H116" si="40">COUNTIF(D124:D148,"A")</f>
        <v>0</v>
      </c>
      <c r="E116" s="5">
        <f t="shared" si="40"/>
        <v>0</v>
      </c>
      <c r="F116" s="5">
        <f t="shared" si="40"/>
        <v>21</v>
      </c>
      <c r="G116" s="5">
        <f t="shared" si="40"/>
        <v>0</v>
      </c>
      <c r="H116" s="5">
        <f t="shared" si="40"/>
        <v>0</v>
      </c>
      <c r="I116" s="5">
        <f>COUNTIF(I124:I148,"A")</f>
        <v>0</v>
      </c>
      <c r="J116" s="5">
        <f t="shared" ref="J116:N116" si="41">COUNTIF(J124:J148,"A")</f>
        <v>0</v>
      </c>
      <c r="K116" s="5">
        <f t="shared" si="41"/>
        <v>0</v>
      </c>
      <c r="L116" s="5">
        <f t="shared" si="41"/>
        <v>0</v>
      </c>
      <c r="M116" s="5">
        <f t="shared" si="41"/>
        <v>1</v>
      </c>
      <c r="N116" s="5">
        <f t="shared" si="41"/>
        <v>0</v>
      </c>
      <c r="O116" s="5">
        <f>COUNTIF(O124:O148,"A")</f>
        <v>0</v>
      </c>
      <c r="P116" s="5">
        <f t="shared" ref="P116:R116" si="42">COUNTIF(P124:P148,"A")</f>
        <v>0</v>
      </c>
      <c r="Q116" s="5">
        <f t="shared" si="42"/>
        <v>0</v>
      </c>
      <c r="R116" s="10">
        <f t="shared" si="42"/>
        <v>0</v>
      </c>
      <c r="S116" s="26" t="s">
        <v>74</v>
      </c>
    </row>
    <row r="117" spans="1:20" ht="15" customHeight="1" x14ac:dyDescent="0.25">
      <c r="A117" s="25" t="s">
        <v>52</v>
      </c>
      <c r="B117" s="3" t="s">
        <v>11</v>
      </c>
      <c r="C117" s="28">
        <f>C116/C119</f>
        <v>0</v>
      </c>
      <c r="D117" s="29">
        <f t="shared" ref="D117:H117" si="43">D116/D119</f>
        <v>0</v>
      </c>
      <c r="E117" s="29">
        <f t="shared" si="43"/>
        <v>0</v>
      </c>
      <c r="F117" s="29">
        <f t="shared" si="43"/>
        <v>0.875</v>
      </c>
      <c r="G117" s="29">
        <f t="shared" si="43"/>
        <v>0</v>
      </c>
      <c r="H117" s="29" t="e">
        <f t="shared" si="43"/>
        <v>#DIV/0!</v>
      </c>
      <c r="I117" s="29">
        <f>I116/I119</f>
        <v>0</v>
      </c>
      <c r="J117" s="29">
        <f t="shared" ref="J117:N117" si="44">J116/J119</f>
        <v>0</v>
      </c>
      <c r="K117" s="29">
        <f t="shared" si="44"/>
        <v>0</v>
      </c>
      <c r="L117" s="29">
        <f t="shared" si="44"/>
        <v>0</v>
      </c>
      <c r="M117" s="29">
        <f t="shared" si="44"/>
        <v>0.33333333333333331</v>
      </c>
      <c r="N117" s="29" t="e">
        <f t="shared" si="44"/>
        <v>#DIV/0!</v>
      </c>
      <c r="O117" s="29">
        <f>O116/O119</f>
        <v>0</v>
      </c>
      <c r="P117" s="29">
        <f t="shared" ref="P117:R117" si="45">P116/P119</f>
        <v>0</v>
      </c>
      <c r="Q117" s="29">
        <f t="shared" si="45"/>
        <v>0</v>
      </c>
      <c r="R117" s="30" t="e">
        <f t="shared" si="45"/>
        <v>#DIV/0!</v>
      </c>
      <c r="S117" s="2" t="s">
        <v>6</v>
      </c>
      <c r="T117" s="1" t="s">
        <v>75</v>
      </c>
    </row>
    <row r="118" spans="1:20" ht="15" customHeight="1" x14ac:dyDescent="0.25">
      <c r="A118" s="9">
        <f>COUNTA(A124:A148)/C121</f>
        <v>0.125</v>
      </c>
      <c r="B118" s="3" t="s">
        <v>12</v>
      </c>
      <c r="C118" s="28">
        <f>C116/$C121</f>
        <v>0</v>
      </c>
      <c r="D118" s="29">
        <f>D116/$C121</f>
        <v>0</v>
      </c>
      <c r="E118" s="29">
        <f t="shared" ref="E118:R118" si="46">E116/$C121</f>
        <v>0</v>
      </c>
      <c r="F118" s="29">
        <f t="shared" si="46"/>
        <v>0.875</v>
      </c>
      <c r="G118" s="29">
        <f t="shared" si="46"/>
        <v>0</v>
      </c>
      <c r="H118" s="29">
        <f t="shared" si="46"/>
        <v>0</v>
      </c>
      <c r="I118" s="29">
        <f t="shared" si="46"/>
        <v>0</v>
      </c>
      <c r="J118" s="29">
        <f t="shared" si="46"/>
        <v>0</v>
      </c>
      <c r="K118" s="29">
        <f t="shared" si="46"/>
        <v>0</v>
      </c>
      <c r="L118" s="29">
        <f t="shared" si="46"/>
        <v>0</v>
      </c>
      <c r="M118" s="29">
        <f t="shared" si="46"/>
        <v>4.1666666666666664E-2</v>
      </c>
      <c r="N118" s="29">
        <f t="shared" si="46"/>
        <v>0</v>
      </c>
      <c r="O118" s="29">
        <f t="shared" si="46"/>
        <v>0</v>
      </c>
      <c r="P118" s="29">
        <f t="shared" si="46"/>
        <v>0</v>
      </c>
      <c r="Q118" s="29">
        <f t="shared" si="46"/>
        <v>0</v>
      </c>
      <c r="R118" s="30">
        <f t="shared" si="46"/>
        <v>0</v>
      </c>
      <c r="S118" s="2" t="s">
        <v>76</v>
      </c>
      <c r="T118" s="1" t="s">
        <v>77</v>
      </c>
    </row>
    <row r="119" spans="1:20" ht="15" customHeight="1" x14ac:dyDescent="0.25">
      <c r="A119" s="24" t="s">
        <v>71</v>
      </c>
      <c r="B119" s="3" t="s">
        <v>8</v>
      </c>
      <c r="C119" s="6">
        <f>COUNTA(C124:C148)</f>
        <v>3</v>
      </c>
      <c r="D119" s="2">
        <f t="shared" ref="D119:H119" si="47">COUNTA(D124:D148)</f>
        <v>3</v>
      </c>
      <c r="E119" s="2">
        <f t="shared" si="47"/>
        <v>3</v>
      </c>
      <c r="F119" s="2">
        <f t="shared" si="47"/>
        <v>24</v>
      </c>
      <c r="G119" s="2">
        <f t="shared" si="47"/>
        <v>3</v>
      </c>
      <c r="H119" s="2">
        <f t="shared" si="47"/>
        <v>0</v>
      </c>
      <c r="I119" s="2">
        <f>COUNTA(I124:I148)</f>
        <v>3</v>
      </c>
      <c r="J119" s="2">
        <f t="shared" ref="J119:N119" si="48">COUNTA(J124:J148)</f>
        <v>3</v>
      </c>
      <c r="K119" s="2">
        <f t="shared" si="48"/>
        <v>3</v>
      </c>
      <c r="L119" s="2">
        <f t="shared" si="48"/>
        <v>3</v>
      </c>
      <c r="M119" s="2">
        <f t="shared" si="48"/>
        <v>3</v>
      </c>
      <c r="N119" s="2">
        <f t="shared" si="48"/>
        <v>0</v>
      </c>
      <c r="O119" s="2">
        <f>COUNTA(O124:O148)</f>
        <v>3</v>
      </c>
      <c r="P119" s="2">
        <f t="shared" ref="P119:R119" si="49">COUNTA(P124:P148)</f>
        <v>3</v>
      </c>
      <c r="Q119" s="2">
        <f t="shared" si="49"/>
        <v>3</v>
      </c>
      <c r="R119" s="11">
        <f t="shared" si="49"/>
        <v>0</v>
      </c>
      <c r="S119" s="2">
        <v>0</v>
      </c>
      <c r="T119" s="1" t="s">
        <v>78</v>
      </c>
    </row>
    <row r="120" spans="1:20" ht="15" customHeight="1" x14ac:dyDescent="0.25">
      <c r="A120" s="33" t="s">
        <v>137</v>
      </c>
      <c r="B120" s="3" t="s">
        <v>9</v>
      </c>
      <c r="C120" s="28">
        <f>C119/$C121</f>
        <v>0.125</v>
      </c>
      <c r="D120" s="29">
        <f t="shared" ref="D120" si="50">D119/$C121</f>
        <v>0.125</v>
      </c>
      <c r="E120" s="29">
        <f t="shared" ref="E120" si="51">E119/$C121</f>
        <v>0.125</v>
      </c>
      <c r="F120" s="29">
        <f t="shared" ref="F120" si="52">F119/$C121</f>
        <v>1</v>
      </c>
      <c r="G120" s="29">
        <f t="shared" ref="G120" si="53">G119/$C121</f>
        <v>0.125</v>
      </c>
      <c r="H120" s="29">
        <f t="shared" ref="H120" si="54">H119/$C121</f>
        <v>0</v>
      </c>
      <c r="I120" s="29">
        <f t="shared" ref="I120" si="55">I119/$C121</f>
        <v>0.125</v>
      </c>
      <c r="J120" s="29">
        <f t="shared" ref="J120" si="56">J119/$C121</f>
        <v>0.125</v>
      </c>
      <c r="K120" s="29">
        <f t="shared" ref="K120" si="57">K119/$C121</f>
        <v>0.125</v>
      </c>
      <c r="L120" s="29">
        <f t="shared" ref="L120" si="58">L119/$C121</f>
        <v>0.125</v>
      </c>
      <c r="M120" s="29">
        <f t="shared" ref="M120" si="59">M119/$C121</f>
        <v>0.125</v>
      </c>
      <c r="N120" s="29">
        <f t="shared" ref="N120" si="60">N119/$C121</f>
        <v>0</v>
      </c>
      <c r="O120" s="29">
        <f t="shared" ref="O120" si="61">O119/$C121</f>
        <v>0.125</v>
      </c>
      <c r="P120" s="29">
        <f t="shared" ref="P120" si="62">P119/$C121</f>
        <v>0.125</v>
      </c>
      <c r="Q120" s="29">
        <f t="shared" ref="Q120" si="63">Q119/$C121</f>
        <v>0.125</v>
      </c>
      <c r="R120" s="30">
        <f t="shared" ref="R120" si="64">R119/$C121</f>
        <v>0</v>
      </c>
      <c r="S120" s="2" t="s">
        <v>81</v>
      </c>
      <c r="T120" s="1" t="s">
        <v>82</v>
      </c>
    </row>
    <row r="121" spans="1:20" ht="15" customHeight="1" thickBot="1" x14ac:dyDescent="0.3">
      <c r="A121" s="24" t="s">
        <v>72</v>
      </c>
      <c r="B121" s="3" t="s">
        <v>7</v>
      </c>
      <c r="C121" s="7">
        <f>COUNTA($B124:$B148)</f>
        <v>24</v>
      </c>
      <c r="D121" s="8"/>
      <c r="E121" s="8"/>
      <c r="F121" s="8"/>
      <c r="G121" s="8"/>
      <c r="H121" s="31"/>
      <c r="I121" s="8"/>
      <c r="J121" s="8"/>
      <c r="K121" s="8"/>
      <c r="L121" s="8"/>
      <c r="M121" s="8"/>
      <c r="N121" s="31"/>
      <c r="O121" s="8"/>
      <c r="P121" s="8"/>
      <c r="Q121" s="8"/>
      <c r="R121" s="18"/>
      <c r="S121" s="2" t="s">
        <v>134</v>
      </c>
      <c r="T121" s="1" t="s">
        <v>135</v>
      </c>
    </row>
    <row r="122" spans="1:20" ht="15" customHeight="1" thickBot="1" x14ac:dyDescent="0.3">
      <c r="A122" s="33" t="s">
        <v>138</v>
      </c>
      <c r="C122" s="35" t="s">
        <v>15</v>
      </c>
      <c r="D122" s="36"/>
      <c r="E122" s="36"/>
      <c r="F122" s="36"/>
      <c r="G122" s="36"/>
      <c r="H122" s="36"/>
      <c r="I122" s="36" t="s">
        <v>13</v>
      </c>
      <c r="J122" s="36"/>
      <c r="K122" s="36"/>
      <c r="L122" s="36"/>
      <c r="M122" s="36"/>
      <c r="N122" s="36"/>
      <c r="O122" s="36" t="s">
        <v>14</v>
      </c>
      <c r="P122" s="36"/>
      <c r="Q122" s="36"/>
      <c r="R122" s="37"/>
    </row>
    <row r="123" spans="1:20" ht="28" customHeight="1" thickBot="1" x14ac:dyDescent="0.3">
      <c r="A123" s="19" t="s">
        <v>1</v>
      </c>
      <c r="B123" s="20" t="s">
        <v>0</v>
      </c>
      <c r="C123" s="12" t="s">
        <v>2</v>
      </c>
      <c r="D123" s="13" t="s">
        <v>3</v>
      </c>
      <c r="E123" s="13" t="s">
        <v>4</v>
      </c>
      <c r="F123" s="21" t="s">
        <v>84</v>
      </c>
      <c r="G123" s="21" t="s">
        <v>34</v>
      </c>
      <c r="H123" s="13" t="s">
        <v>5</v>
      </c>
      <c r="I123" s="13" t="s">
        <v>2</v>
      </c>
      <c r="J123" s="13" t="s">
        <v>3</v>
      </c>
      <c r="K123" s="13" t="s">
        <v>4</v>
      </c>
      <c r="L123" s="21" t="s">
        <v>83</v>
      </c>
      <c r="M123" s="21" t="s">
        <v>34</v>
      </c>
      <c r="N123" s="13" t="s">
        <v>5</v>
      </c>
      <c r="O123" s="13" t="s">
        <v>2</v>
      </c>
      <c r="P123" s="13" t="s">
        <v>3</v>
      </c>
      <c r="Q123" s="13" t="s">
        <v>4</v>
      </c>
      <c r="R123" s="14" t="s">
        <v>5</v>
      </c>
    </row>
    <row r="124" spans="1:20" ht="15" customHeight="1" x14ac:dyDescent="0.25">
      <c r="A124" s="15"/>
      <c r="B124" s="16" t="s">
        <v>139</v>
      </c>
      <c r="C124" s="6"/>
      <c r="F124" s="2" t="s">
        <v>6</v>
      </c>
      <c r="H124" s="22"/>
      <c r="I124" s="6"/>
      <c r="N124" s="22"/>
      <c r="O124" s="6"/>
      <c r="R124" s="22"/>
    </row>
    <row r="125" spans="1:20" ht="15" customHeight="1" x14ac:dyDescent="0.25">
      <c r="A125" s="15"/>
      <c r="B125" s="16" t="s">
        <v>140</v>
      </c>
      <c r="C125" s="6"/>
      <c r="F125" s="2" t="s">
        <v>6</v>
      </c>
      <c r="H125" s="22"/>
      <c r="I125" s="6"/>
      <c r="N125" s="22"/>
      <c r="O125" s="6"/>
      <c r="R125" s="22"/>
    </row>
    <row r="126" spans="1:20" ht="15" customHeight="1" x14ac:dyDescent="0.25">
      <c r="A126" s="15"/>
      <c r="B126" s="16" t="s">
        <v>141</v>
      </c>
      <c r="C126" s="6"/>
      <c r="F126" s="2" t="s">
        <v>6</v>
      </c>
      <c r="H126" s="22"/>
      <c r="I126" s="6"/>
      <c r="N126" s="22"/>
      <c r="O126" s="6"/>
      <c r="R126" s="22"/>
    </row>
    <row r="127" spans="1:20" ht="15" customHeight="1" x14ac:dyDescent="0.25">
      <c r="A127" s="15"/>
      <c r="B127" s="16" t="s">
        <v>142</v>
      </c>
      <c r="C127" s="6"/>
      <c r="F127" s="2" t="s">
        <v>6</v>
      </c>
      <c r="H127" s="22"/>
      <c r="I127" s="6"/>
      <c r="N127" s="22"/>
      <c r="O127" s="6"/>
      <c r="R127" s="22"/>
    </row>
    <row r="128" spans="1:20" ht="15" customHeight="1" x14ac:dyDescent="0.25">
      <c r="A128" s="15"/>
      <c r="B128" s="16" t="s">
        <v>143</v>
      </c>
      <c r="C128" s="6"/>
      <c r="F128" s="2" t="s">
        <v>6</v>
      </c>
      <c r="H128" s="22"/>
      <c r="I128" s="6"/>
      <c r="N128" s="22"/>
      <c r="O128" s="6"/>
      <c r="R128" s="22"/>
    </row>
    <row r="129" spans="1:18" ht="15" customHeight="1" x14ac:dyDescent="0.25">
      <c r="A129" s="15"/>
      <c r="B129" s="16" t="s">
        <v>144</v>
      </c>
      <c r="C129" s="6"/>
      <c r="F129" s="2" t="s">
        <v>6</v>
      </c>
      <c r="H129" s="22"/>
      <c r="I129" s="6"/>
      <c r="N129" s="22"/>
      <c r="O129" s="6"/>
      <c r="R129" s="22"/>
    </row>
    <row r="130" spans="1:18" ht="15" customHeight="1" x14ac:dyDescent="0.25">
      <c r="A130" s="15"/>
      <c r="B130" s="16" t="s">
        <v>145</v>
      </c>
      <c r="C130" s="6"/>
      <c r="F130" s="2" t="s">
        <v>6</v>
      </c>
      <c r="H130" s="22"/>
      <c r="I130" s="6"/>
      <c r="N130" s="22"/>
      <c r="O130" s="6"/>
      <c r="R130" s="22"/>
    </row>
    <row r="131" spans="1:18" ht="15" customHeight="1" x14ac:dyDescent="0.25">
      <c r="A131" s="15"/>
      <c r="B131" s="16" t="s">
        <v>146</v>
      </c>
      <c r="C131" s="6"/>
      <c r="F131" s="2" t="s">
        <v>6</v>
      </c>
      <c r="H131" s="22"/>
      <c r="I131" s="6"/>
      <c r="N131" s="22"/>
      <c r="O131" s="6"/>
      <c r="R131" s="22"/>
    </row>
    <row r="132" spans="1:18" ht="15" customHeight="1" x14ac:dyDescent="0.25">
      <c r="A132" s="15" t="s">
        <v>161</v>
      </c>
      <c r="B132" s="16" t="s">
        <v>147</v>
      </c>
      <c r="C132" s="6">
        <v>0</v>
      </c>
      <c r="D132" s="2">
        <v>0</v>
      </c>
      <c r="E132" s="2">
        <v>0</v>
      </c>
      <c r="F132" s="2">
        <v>0</v>
      </c>
      <c r="G132" s="2">
        <v>0</v>
      </c>
      <c r="H132" s="22"/>
      <c r="I132" s="6">
        <v>0</v>
      </c>
      <c r="J132" s="2">
        <v>0</v>
      </c>
      <c r="K132" s="2">
        <v>0</v>
      </c>
      <c r="L132" s="2" t="s">
        <v>81</v>
      </c>
      <c r="M132" s="2">
        <v>0</v>
      </c>
      <c r="N132" s="22"/>
      <c r="O132" s="6">
        <v>0</v>
      </c>
      <c r="P132" s="2">
        <v>0</v>
      </c>
      <c r="Q132" s="2">
        <v>0</v>
      </c>
      <c r="R132" s="22"/>
    </row>
    <row r="133" spans="1:18" ht="15" customHeight="1" x14ac:dyDescent="0.25">
      <c r="A133" s="15"/>
      <c r="B133" s="16" t="s">
        <v>148</v>
      </c>
      <c r="C133" s="6"/>
      <c r="F133" s="2" t="s">
        <v>6</v>
      </c>
      <c r="H133" s="22"/>
      <c r="I133" s="6"/>
      <c r="N133" s="22"/>
      <c r="O133" s="6"/>
      <c r="R133" s="22"/>
    </row>
    <row r="134" spans="1:18" ht="15" customHeight="1" x14ac:dyDescent="0.25">
      <c r="A134" s="15"/>
      <c r="B134" s="16" t="s">
        <v>149</v>
      </c>
      <c r="C134" s="6"/>
      <c r="F134" s="2" t="s">
        <v>6</v>
      </c>
      <c r="H134" s="22"/>
      <c r="I134" s="6"/>
      <c r="N134" s="22"/>
      <c r="O134" s="6"/>
      <c r="R134" s="22"/>
    </row>
    <row r="135" spans="1:18" ht="15" customHeight="1" x14ac:dyDescent="0.25">
      <c r="A135" s="15"/>
      <c r="B135" s="16" t="s">
        <v>150</v>
      </c>
      <c r="C135" s="6"/>
      <c r="F135" s="2" t="s">
        <v>6</v>
      </c>
      <c r="H135" s="22"/>
      <c r="I135" s="6"/>
      <c r="N135" s="22"/>
      <c r="O135" s="6"/>
      <c r="R135" s="22"/>
    </row>
    <row r="136" spans="1:18" ht="15" customHeight="1" x14ac:dyDescent="0.25">
      <c r="A136" s="15"/>
      <c r="B136" s="16" t="s">
        <v>151</v>
      </c>
      <c r="C136" s="6"/>
      <c r="F136" s="2" t="s">
        <v>6</v>
      </c>
      <c r="H136" s="22"/>
      <c r="I136" s="6"/>
      <c r="N136" s="22"/>
      <c r="O136" s="6"/>
      <c r="R136" s="22"/>
    </row>
    <row r="137" spans="1:18" ht="15" customHeight="1" x14ac:dyDescent="0.25">
      <c r="A137" s="15"/>
      <c r="B137" s="16" t="s">
        <v>152</v>
      </c>
      <c r="C137" s="6"/>
      <c r="F137" s="2" t="s">
        <v>6</v>
      </c>
      <c r="H137" s="22"/>
      <c r="I137" s="6"/>
      <c r="N137" s="22"/>
      <c r="O137" s="6"/>
      <c r="R137" s="22"/>
    </row>
    <row r="138" spans="1:18" ht="15" customHeight="1" x14ac:dyDescent="0.25">
      <c r="A138" s="15"/>
      <c r="B138" s="16" t="s">
        <v>153</v>
      </c>
      <c r="C138" s="6"/>
      <c r="F138" s="2" t="s">
        <v>6</v>
      </c>
      <c r="H138" s="22"/>
      <c r="I138" s="6"/>
      <c r="N138" s="22"/>
      <c r="O138" s="6"/>
      <c r="R138" s="22"/>
    </row>
    <row r="139" spans="1:18" ht="15" customHeight="1" x14ac:dyDescent="0.25">
      <c r="A139" s="15" t="s">
        <v>161</v>
      </c>
      <c r="B139" s="16" t="s">
        <v>154</v>
      </c>
      <c r="C139" s="6">
        <v>0</v>
      </c>
      <c r="D139" s="2">
        <v>0</v>
      </c>
      <c r="E139" s="2">
        <v>0</v>
      </c>
      <c r="F139" s="2" t="s">
        <v>104</v>
      </c>
      <c r="G139" s="2">
        <v>0</v>
      </c>
      <c r="H139" s="22"/>
      <c r="I139" s="6">
        <v>0</v>
      </c>
      <c r="J139" s="2">
        <v>0</v>
      </c>
      <c r="K139" s="2">
        <v>0</v>
      </c>
      <c r="L139" s="2" t="s">
        <v>81</v>
      </c>
      <c r="M139" s="2">
        <v>0</v>
      </c>
      <c r="N139" s="22"/>
      <c r="O139" s="6">
        <v>0</v>
      </c>
      <c r="P139" s="2">
        <v>0</v>
      </c>
      <c r="Q139" s="2">
        <v>0</v>
      </c>
      <c r="R139" s="22"/>
    </row>
    <row r="140" spans="1:18" ht="15" customHeight="1" x14ac:dyDescent="0.25">
      <c r="A140" s="15"/>
      <c r="B140" s="16" t="s">
        <v>155</v>
      </c>
      <c r="C140" s="6"/>
      <c r="F140" s="2" t="s">
        <v>6</v>
      </c>
      <c r="H140" s="22"/>
      <c r="I140" s="6"/>
      <c r="N140" s="22"/>
      <c r="O140" s="6"/>
      <c r="R140" s="22"/>
    </row>
    <row r="141" spans="1:18" ht="15" customHeight="1" x14ac:dyDescent="0.25">
      <c r="A141" s="15"/>
      <c r="B141" s="16" t="s">
        <v>156</v>
      </c>
      <c r="C141" s="6"/>
      <c r="F141" s="2" t="s">
        <v>6</v>
      </c>
      <c r="H141" s="22"/>
      <c r="I141" s="6"/>
      <c r="N141" s="22"/>
      <c r="O141" s="6"/>
      <c r="R141" s="22"/>
    </row>
    <row r="142" spans="1:18" ht="15" customHeight="1" x14ac:dyDescent="0.25">
      <c r="A142" s="15"/>
      <c r="B142" s="16" t="s">
        <v>157</v>
      </c>
      <c r="C142" s="6"/>
      <c r="F142" s="2" t="s">
        <v>6</v>
      </c>
      <c r="H142" s="22"/>
      <c r="I142" s="6"/>
      <c r="N142" s="22"/>
      <c r="O142" s="6"/>
      <c r="R142" s="22"/>
    </row>
    <row r="143" spans="1:18" ht="15" customHeight="1" x14ac:dyDescent="0.25">
      <c r="A143" s="15"/>
      <c r="B143" s="16" t="s">
        <v>158</v>
      </c>
      <c r="C143" s="6"/>
      <c r="F143" s="2" t="s">
        <v>6</v>
      </c>
      <c r="H143" s="22"/>
      <c r="I143" s="6"/>
      <c r="N143" s="22"/>
      <c r="O143" s="6"/>
      <c r="R143" s="22"/>
    </row>
    <row r="144" spans="1:18" ht="15" customHeight="1" x14ac:dyDescent="0.25">
      <c r="A144" s="38" t="s">
        <v>431</v>
      </c>
      <c r="B144" s="16" t="s">
        <v>159</v>
      </c>
      <c r="C144" s="6">
        <v>0</v>
      </c>
      <c r="D144" s="2">
        <v>0</v>
      </c>
      <c r="E144" s="2">
        <v>0</v>
      </c>
      <c r="F144" s="2">
        <v>0</v>
      </c>
      <c r="G144" s="2">
        <v>0</v>
      </c>
      <c r="H144" s="22"/>
      <c r="I144" s="6">
        <v>0</v>
      </c>
      <c r="J144" s="2">
        <v>0</v>
      </c>
      <c r="K144" s="2">
        <v>0</v>
      </c>
      <c r="L144" s="2">
        <v>0</v>
      </c>
      <c r="M144" s="2" t="s">
        <v>6</v>
      </c>
      <c r="N144" s="22"/>
      <c r="O144" s="6">
        <v>0</v>
      </c>
      <c r="P144" s="2">
        <v>0</v>
      </c>
      <c r="Q144" s="2">
        <v>0</v>
      </c>
      <c r="R144" s="22"/>
    </row>
    <row r="145" spans="1:20" ht="15" customHeight="1" x14ac:dyDescent="0.25">
      <c r="A145" s="15"/>
      <c r="B145" s="16" t="s">
        <v>160</v>
      </c>
      <c r="C145" s="6"/>
      <c r="F145" s="2" t="s">
        <v>6</v>
      </c>
      <c r="H145" s="22"/>
      <c r="I145" s="6"/>
      <c r="N145" s="22"/>
      <c r="O145" s="6"/>
      <c r="R145" s="22"/>
    </row>
    <row r="146" spans="1:20" ht="15" customHeight="1" x14ac:dyDescent="0.25">
      <c r="A146" s="15"/>
      <c r="B146" s="16" t="s">
        <v>162</v>
      </c>
      <c r="C146" s="6"/>
      <c r="F146" s="2" t="s">
        <v>6</v>
      </c>
      <c r="H146" s="22"/>
      <c r="I146" s="6"/>
      <c r="N146" s="22"/>
      <c r="O146" s="6"/>
      <c r="R146" s="22"/>
    </row>
    <row r="147" spans="1:20" ht="15" customHeight="1" x14ac:dyDescent="0.25">
      <c r="A147" s="15"/>
      <c r="B147" s="16" t="s">
        <v>163</v>
      </c>
      <c r="C147" s="6"/>
      <c r="F147" s="2" t="s">
        <v>6</v>
      </c>
      <c r="H147" s="22"/>
      <c r="I147" s="6"/>
      <c r="N147" s="22"/>
      <c r="O147" s="6"/>
      <c r="R147" s="22"/>
    </row>
    <row r="148" spans="1:20" ht="15" customHeight="1" thickBot="1" x14ac:dyDescent="0.3">
      <c r="A148" s="17"/>
      <c r="B148" s="18"/>
      <c r="C148" s="7"/>
      <c r="D148" s="8"/>
      <c r="E148" s="8"/>
      <c r="F148" s="8"/>
      <c r="G148" s="8"/>
      <c r="H148" s="23"/>
      <c r="I148" s="7"/>
      <c r="J148" s="8"/>
      <c r="K148" s="8"/>
      <c r="L148" s="8"/>
      <c r="M148" s="8"/>
      <c r="N148" s="23"/>
      <c r="O148" s="7"/>
      <c r="P148" s="8"/>
      <c r="Q148" s="8"/>
      <c r="R148" s="23"/>
    </row>
    <row r="149" spans="1:20" ht="15" customHeight="1" thickBot="1" x14ac:dyDescent="0.3"/>
    <row r="150" spans="1:20" ht="15" customHeight="1" x14ac:dyDescent="0.25">
      <c r="A150" s="2"/>
      <c r="B150" s="3" t="s">
        <v>10</v>
      </c>
      <c r="C150" s="4">
        <f t="shared" ref="C150:R150" si="65">COUNTIF(C158:C175,"A")</f>
        <v>0</v>
      </c>
      <c r="D150" s="5">
        <f t="shared" si="65"/>
        <v>0</v>
      </c>
      <c r="E150" s="5">
        <f t="shared" si="65"/>
        <v>0</v>
      </c>
      <c r="F150" s="5">
        <f t="shared" si="65"/>
        <v>13</v>
      </c>
      <c r="G150" s="5">
        <f t="shared" si="65"/>
        <v>0</v>
      </c>
      <c r="H150" s="5">
        <f t="shared" si="65"/>
        <v>0</v>
      </c>
      <c r="I150" s="5">
        <f t="shared" si="65"/>
        <v>0</v>
      </c>
      <c r="J150" s="5">
        <f t="shared" si="65"/>
        <v>0</v>
      </c>
      <c r="K150" s="5">
        <f t="shared" si="65"/>
        <v>0</v>
      </c>
      <c r="L150" s="5">
        <f t="shared" si="65"/>
        <v>0</v>
      </c>
      <c r="M150" s="5">
        <f t="shared" si="65"/>
        <v>0</v>
      </c>
      <c r="N150" s="5">
        <f t="shared" si="65"/>
        <v>0</v>
      </c>
      <c r="O150" s="5">
        <f t="shared" si="65"/>
        <v>0</v>
      </c>
      <c r="P150" s="5">
        <f t="shared" si="65"/>
        <v>0</v>
      </c>
      <c r="Q150" s="5">
        <f t="shared" si="65"/>
        <v>0</v>
      </c>
      <c r="R150" s="10">
        <f t="shared" si="65"/>
        <v>0</v>
      </c>
      <c r="S150" s="26" t="s">
        <v>74</v>
      </c>
    </row>
    <row r="151" spans="1:20" ht="15" customHeight="1" x14ac:dyDescent="0.25">
      <c r="A151" s="25" t="s">
        <v>52</v>
      </c>
      <c r="B151" s="3" t="s">
        <v>11</v>
      </c>
      <c r="C151" s="28">
        <f>C150/C153</f>
        <v>0</v>
      </c>
      <c r="D151" s="29">
        <f t="shared" ref="D151:H151" si="66">D150/D153</f>
        <v>0</v>
      </c>
      <c r="E151" s="29">
        <f t="shared" si="66"/>
        <v>0</v>
      </c>
      <c r="F151" s="29">
        <f t="shared" si="66"/>
        <v>0.8125</v>
      </c>
      <c r="G151" s="29">
        <f t="shared" si="66"/>
        <v>0</v>
      </c>
      <c r="H151" s="29" t="e">
        <f t="shared" si="66"/>
        <v>#DIV/0!</v>
      </c>
      <c r="I151" s="29">
        <f>I150/I153</f>
        <v>0</v>
      </c>
      <c r="J151" s="29">
        <f t="shared" ref="J151:N151" si="67">J150/J153</f>
        <v>0</v>
      </c>
      <c r="K151" s="29">
        <f t="shared" si="67"/>
        <v>0</v>
      </c>
      <c r="L151" s="29">
        <f t="shared" si="67"/>
        <v>0</v>
      </c>
      <c r="M151" s="29">
        <f t="shared" si="67"/>
        <v>0</v>
      </c>
      <c r="N151" s="29" t="e">
        <f t="shared" si="67"/>
        <v>#DIV/0!</v>
      </c>
      <c r="O151" s="29">
        <f>O150/O153</f>
        <v>0</v>
      </c>
      <c r="P151" s="29">
        <f t="shared" ref="P151:R151" si="68">P150/P153</f>
        <v>0</v>
      </c>
      <c r="Q151" s="29">
        <f t="shared" si="68"/>
        <v>0</v>
      </c>
      <c r="R151" s="30" t="e">
        <f t="shared" si="68"/>
        <v>#DIV/0!</v>
      </c>
      <c r="S151" s="2" t="s">
        <v>6</v>
      </c>
      <c r="T151" s="1" t="s">
        <v>75</v>
      </c>
    </row>
    <row r="152" spans="1:20" ht="15" customHeight="1" x14ac:dyDescent="0.25">
      <c r="A152" s="9">
        <f>COUNTA(A158:A175)/C155</f>
        <v>0.1875</v>
      </c>
      <c r="B152" s="3" t="s">
        <v>12</v>
      </c>
      <c r="C152" s="28">
        <f>C150/$C155</f>
        <v>0</v>
      </c>
      <c r="D152" s="29">
        <f>D150/$C155</f>
        <v>0</v>
      </c>
      <c r="E152" s="29">
        <f t="shared" ref="E152:R152" si="69">E150/$C155</f>
        <v>0</v>
      </c>
      <c r="F152" s="29">
        <f t="shared" si="69"/>
        <v>0.8125</v>
      </c>
      <c r="G152" s="29">
        <f t="shared" si="69"/>
        <v>0</v>
      </c>
      <c r="H152" s="29">
        <f t="shared" si="69"/>
        <v>0</v>
      </c>
      <c r="I152" s="29">
        <f t="shared" si="69"/>
        <v>0</v>
      </c>
      <c r="J152" s="29">
        <f t="shared" si="69"/>
        <v>0</v>
      </c>
      <c r="K152" s="29">
        <f t="shared" si="69"/>
        <v>0</v>
      </c>
      <c r="L152" s="29">
        <f t="shared" si="69"/>
        <v>0</v>
      </c>
      <c r="M152" s="29">
        <f t="shared" si="69"/>
        <v>0</v>
      </c>
      <c r="N152" s="29">
        <f t="shared" si="69"/>
        <v>0</v>
      </c>
      <c r="O152" s="29">
        <f t="shared" si="69"/>
        <v>0</v>
      </c>
      <c r="P152" s="29">
        <f t="shared" si="69"/>
        <v>0</v>
      </c>
      <c r="Q152" s="29">
        <f t="shared" si="69"/>
        <v>0</v>
      </c>
      <c r="R152" s="30">
        <f t="shared" si="69"/>
        <v>0</v>
      </c>
      <c r="S152" s="2" t="s">
        <v>76</v>
      </c>
      <c r="T152" s="1" t="s">
        <v>77</v>
      </c>
    </row>
    <row r="153" spans="1:20" ht="15" customHeight="1" x14ac:dyDescent="0.25">
      <c r="A153" s="24" t="s">
        <v>71</v>
      </c>
      <c r="B153" s="3" t="s">
        <v>8</v>
      </c>
      <c r="C153" s="6">
        <f t="shared" ref="C153:R153" si="70">COUNTA(C158:C175)</f>
        <v>3</v>
      </c>
      <c r="D153" s="2">
        <f t="shared" si="70"/>
        <v>3</v>
      </c>
      <c r="E153" s="2">
        <f t="shared" si="70"/>
        <v>3</v>
      </c>
      <c r="F153" s="2">
        <f t="shared" si="70"/>
        <v>16</v>
      </c>
      <c r="G153" s="2">
        <f t="shared" si="70"/>
        <v>3</v>
      </c>
      <c r="H153" s="2">
        <f t="shared" si="70"/>
        <v>0</v>
      </c>
      <c r="I153" s="2">
        <f t="shared" si="70"/>
        <v>3</v>
      </c>
      <c r="J153" s="2">
        <f t="shared" si="70"/>
        <v>3</v>
      </c>
      <c r="K153" s="2">
        <f t="shared" si="70"/>
        <v>3</v>
      </c>
      <c r="L153" s="2">
        <f t="shared" si="70"/>
        <v>3</v>
      </c>
      <c r="M153" s="2">
        <f t="shared" si="70"/>
        <v>3</v>
      </c>
      <c r="N153" s="2">
        <f t="shared" si="70"/>
        <v>0</v>
      </c>
      <c r="O153" s="2">
        <f t="shared" si="70"/>
        <v>3</v>
      </c>
      <c r="P153" s="2">
        <f t="shared" si="70"/>
        <v>3</v>
      </c>
      <c r="Q153" s="2">
        <f t="shared" si="70"/>
        <v>3</v>
      </c>
      <c r="R153" s="11">
        <f t="shared" si="70"/>
        <v>0</v>
      </c>
      <c r="S153" s="2">
        <v>0</v>
      </c>
      <c r="T153" s="1" t="s">
        <v>78</v>
      </c>
    </row>
    <row r="154" spans="1:20" ht="15" customHeight="1" x14ac:dyDescent="0.25">
      <c r="A154" s="33" t="s">
        <v>164</v>
      </c>
      <c r="B154" s="3" t="s">
        <v>9</v>
      </c>
      <c r="C154" s="28">
        <f>C153/$C155</f>
        <v>0.1875</v>
      </c>
      <c r="D154" s="29">
        <f t="shared" ref="D154" si="71">D153/$C155</f>
        <v>0.1875</v>
      </c>
      <c r="E154" s="29">
        <f t="shared" ref="E154" si="72">E153/$C155</f>
        <v>0.1875</v>
      </c>
      <c r="F154" s="29">
        <f t="shared" ref="F154" si="73">F153/$C155</f>
        <v>1</v>
      </c>
      <c r="G154" s="29">
        <f t="shared" ref="G154" si="74">G153/$C155</f>
        <v>0.1875</v>
      </c>
      <c r="H154" s="29">
        <f t="shared" ref="H154" si="75">H153/$C155</f>
        <v>0</v>
      </c>
      <c r="I154" s="29">
        <f t="shared" ref="I154" si="76">I153/$C155</f>
        <v>0.1875</v>
      </c>
      <c r="J154" s="29">
        <f t="shared" ref="J154" si="77">J153/$C155</f>
        <v>0.1875</v>
      </c>
      <c r="K154" s="29">
        <f t="shared" ref="K154" si="78">K153/$C155</f>
        <v>0.1875</v>
      </c>
      <c r="L154" s="29">
        <f t="shared" ref="L154" si="79">L153/$C155</f>
        <v>0.1875</v>
      </c>
      <c r="M154" s="29">
        <f t="shared" ref="M154" si="80">M153/$C155</f>
        <v>0.1875</v>
      </c>
      <c r="N154" s="29">
        <f t="shared" ref="N154" si="81">N153/$C155</f>
        <v>0</v>
      </c>
      <c r="O154" s="29">
        <f t="shared" ref="O154" si="82">O153/$C155</f>
        <v>0.1875</v>
      </c>
      <c r="P154" s="29">
        <f t="shared" ref="P154" si="83">P153/$C155</f>
        <v>0.1875</v>
      </c>
      <c r="Q154" s="29">
        <f t="shared" ref="Q154" si="84">Q153/$C155</f>
        <v>0.1875</v>
      </c>
      <c r="R154" s="30">
        <f t="shared" ref="R154" si="85">R153/$C155</f>
        <v>0</v>
      </c>
      <c r="S154" s="2" t="s">
        <v>81</v>
      </c>
      <c r="T154" s="1" t="s">
        <v>82</v>
      </c>
    </row>
    <row r="155" spans="1:20" ht="15" customHeight="1" thickBot="1" x14ac:dyDescent="0.3">
      <c r="A155" s="24" t="s">
        <v>72</v>
      </c>
      <c r="B155" s="3" t="s">
        <v>7</v>
      </c>
      <c r="C155" s="7">
        <f>COUNTA($B158:$B175)</f>
        <v>16</v>
      </c>
      <c r="D155" s="8"/>
      <c r="E155" s="8"/>
      <c r="F155" s="8"/>
      <c r="G155" s="8"/>
      <c r="H155" s="31"/>
      <c r="I155" s="8"/>
      <c r="J155" s="8"/>
      <c r="K155" s="8"/>
      <c r="L155" s="8"/>
      <c r="M155" s="8"/>
      <c r="N155" s="31"/>
      <c r="O155" s="8"/>
      <c r="P155" s="8"/>
      <c r="Q155" s="8"/>
      <c r="R155" s="18"/>
      <c r="S155" s="2" t="s">
        <v>134</v>
      </c>
      <c r="T155" s="1" t="s">
        <v>135</v>
      </c>
    </row>
    <row r="156" spans="1:20" ht="15" customHeight="1" thickBot="1" x14ac:dyDescent="0.3">
      <c r="A156" s="33" t="s">
        <v>207</v>
      </c>
      <c r="C156" s="35" t="s">
        <v>15</v>
      </c>
      <c r="D156" s="36"/>
      <c r="E156" s="36"/>
      <c r="F156" s="36"/>
      <c r="G156" s="36"/>
      <c r="H156" s="36"/>
      <c r="I156" s="36" t="s">
        <v>13</v>
      </c>
      <c r="J156" s="36"/>
      <c r="K156" s="36"/>
      <c r="L156" s="36"/>
      <c r="M156" s="36"/>
      <c r="N156" s="36"/>
      <c r="O156" s="36" t="s">
        <v>14</v>
      </c>
      <c r="P156" s="36"/>
      <c r="Q156" s="36"/>
      <c r="R156" s="37"/>
    </row>
    <row r="157" spans="1:20" ht="28" customHeight="1" thickBot="1" x14ac:dyDescent="0.3">
      <c r="A157" s="19" t="s">
        <v>1</v>
      </c>
      <c r="B157" s="20" t="s">
        <v>0</v>
      </c>
      <c r="C157" s="12" t="s">
        <v>2</v>
      </c>
      <c r="D157" s="13" t="s">
        <v>3</v>
      </c>
      <c r="E157" s="13" t="s">
        <v>4</v>
      </c>
      <c r="F157" s="21" t="s">
        <v>84</v>
      </c>
      <c r="G157" s="21" t="s">
        <v>34</v>
      </c>
      <c r="H157" s="13" t="s">
        <v>5</v>
      </c>
      <c r="I157" s="13" t="s">
        <v>2</v>
      </c>
      <c r="J157" s="13" t="s">
        <v>3</v>
      </c>
      <c r="K157" s="13" t="s">
        <v>4</v>
      </c>
      <c r="L157" s="21" t="s">
        <v>83</v>
      </c>
      <c r="M157" s="21" t="s">
        <v>34</v>
      </c>
      <c r="N157" s="13" t="s">
        <v>5</v>
      </c>
      <c r="O157" s="13" t="s">
        <v>2</v>
      </c>
      <c r="P157" s="13" t="s">
        <v>3</v>
      </c>
      <c r="Q157" s="13" t="s">
        <v>4</v>
      </c>
      <c r="R157" s="14" t="s">
        <v>5</v>
      </c>
    </row>
    <row r="158" spans="1:20" ht="15" customHeight="1" x14ac:dyDescent="0.25">
      <c r="A158" s="15"/>
      <c r="B158" s="16" t="s">
        <v>165</v>
      </c>
      <c r="C158" s="6"/>
      <c r="F158" s="2" t="s">
        <v>6</v>
      </c>
      <c r="H158" s="22"/>
      <c r="I158" s="6"/>
      <c r="N158" s="22"/>
      <c r="O158" s="6"/>
      <c r="R158" s="22"/>
    </row>
    <row r="159" spans="1:20" ht="15" customHeight="1" x14ac:dyDescent="0.25">
      <c r="A159" s="38" t="s">
        <v>432</v>
      </c>
      <c r="B159" s="16" t="s">
        <v>166</v>
      </c>
      <c r="C159" s="6">
        <v>0</v>
      </c>
      <c r="D159" s="2">
        <v>0</v>
      </c>
      <c r="E159" s="2">
        <v>0</v>
      </c>
      <c r="F159" s="2" t="s">
        <v>104</v>
      </c>
      <c r="G159" s="2">
        <v>0</v>
      </c>
      <c r="H159" s="22"/>
      <c r="I159" s="6">
        <v>0</v>
      </c>
      <c r="J159" s="2">
        <v>0</v>
      </c>
      <c r="K159" s="2">
        <v>0</v>
      </c>
      <c r="L159" s="2">
        <v>0</v>
      </c>
      <c r="M159" s="2">
        <v>0</v>
      </c>
      <c r="N159" s="22"/>
      <c r="O159" s="6">
        <v>0</v>
      </c>
      <c r="P159" s="2">
        <v>0</v>
      </c>
      <c r="Q159" s="2">
        <v>0</v>
      </c>
      <c r="R159" s="22"/>
    </row>
    <row r="160" spans="1:20" ht="15" customHeight="1" x14ac:dyDescent="0.25">
      <c r="A160" s="38" t="s">
        <v>432</v>
      </c>
      <c r="B160" s="16" t="s">
        <v>167</v>
      </c>
      <c r="C160" s="6">
        <v>0</v>
      </c>
      <c r="D160" s="2">
        <v>0</v>
      </c>
      <c r="E160" s="2">
        <v>0</v>
      </c>
      <c r="F160" s="2" t="s">
        <v>104</v>
      </c>
      <c r="G160" s="2">
        <v>0</v>
      </c>
      <c r="H160" s="22"/>
      <c r="I160" s="6">
        <v>0</v>
      </c>
      <c r="J160" s="2">
        <v>0</v>
      </c>
      <c r="K160" s="2">
        <v>0</v>
      </c>
      <c r="L160" s="2" t="s">
        <v>81</v>
      </c>
      <c r="M160" s="2">
        <v>0</v>
      </c>
      <c r="N160" s="22"/>
      <c r="O160" s="6">
        <v>0</v>
      </c>
      <c r="P160" s="2">
        <v>0</v>
      </c>
      <c r="Q160" s="2">
        <v>0</v>
      </c>
      <c r="R160" s="22"/>
    </row>
    <row r="161" spans="1:18" ht="15" customHeight="1" x14ac:dyDescent="0.25">
      <c r="A161" s="15"/>
      <c r="B161" s="16" t="s">
        <v>168</v>
      </c>
      <c r="C161" s="6"/>
      <c r="F161" s="2" t="s">
        <v>6</v>
      </c>
      <c r="H161" s="22"/>
      <c r="I161" s="6"/>
      <c r="N161" s="22"/>
      <c r="O161" s="6"/>
      <c r="R161" s="22"/>
    </row>
    <row r="162" spans="1:18" ht="15" customHeight="1" x14ac:dyDescent="0.25">
      <c r="A162" s="15"/>
      <c r="B162" s="16" t="s">
        <v>169</v>
      </c>
      <c r="C162" s="6"/>
      <c r="F162" s="2" t="s">
        <v>6</v>
      </c>
      <c r="H162" s="22"/>
      <c r="I162" s="6"/>
      <c r="N162" s="22"/>
      <c r="O162" s="6"/>
      <c r="R162" s="22"/>
    </row>
    <row r="163" spans="1:18" ht="15" customHeight="1" x14ac:dyDescent="0.25">
      <c r="A163" s="15"/>
      <c r="B163" s="16" t="s">
        <v>170</v>
      </c>
      <c r="C163" s="6"/>
      <c r="F163" s="2" t="s">
        <v>6</v>
      </c>
      <c r="H163" s="22"/>
      <c r="I163" s="6"/>
      <c r="N163" s="22"/>
      <c r="O163" s="6"/>
      <c r="R163" s="22"/>
    </row>
    <row r="164" spans="1:18" ht="15" customHeight="1" x14ac:dyDescent="0.25">
      <c r="A164" s="15"/>
      <c r="B164" s="16" t="s">
        <v>171</v>
      </c>
      <c r="C164" s="6"/>
      <c r="F164" s="2" t="s">
        <v>6</v>
      </c>
      <c r="H164" s="22"/>
      <c r="I164" s="6"/>
      <c r="N164" s="22"/>
      <c r="O164" s="6"/>
      <c r="R164" s="22"/>
    </row>
    <row r="165" spans="1:18" ht="15" customHeight="1" x14ac:dyDescent="0.25">
      <c r="A165" s="15"/>
      <c r="B165" s="16" t="s">
        <v>172</v>
      </c>
      <c r="C165" s="6"/>
      <c r="F165" s="2" t="s">
        <v>6</v>
      </c>
      <c r="H165" s="22"/>
      <c r="I165" s="6"/>
      <c r="N165" s="22"/>
      <c r="O165" s="6"/>
      <c r="R165" s="22"/>
    </row>
    <row r="166" spans="1:18" ht="15" customHeight="1" x14ac:dyDescent="0.25">
      <c r="A166" s="15"/>
      <c r="B166" s="16" t="s">
        <v>173</v>
      </c>
      <c r="C166" s="6"/>
      <c r="F166" s="2" t="s">
        <v>6</v>
      </c>
      <c r="H166" s="22"/>
      <c r="I166" s="6"/>
      <c r="N166" s="22"/>
      <c r="O166" s="6"/>
      <c r="R166" s="22"/>
    </row>
    <row r="167" spans="1:18" ht="15" customHeight="1" x14ac:dyDescent="0.25">
      <c r="A167" s="15"/>
      <c r="B167" s="16" t="s">
        <v>174</v>
      </c>
      <c r="C167" s="6"/>
      <c r="F167" s="2" t="s">
        <v>6</v>
      </c>
      <c r="H167" s="22"/>
      <c r="I167" s="6"/>
      <c r="N167" s="22"/>
      <c r="O167" s="6"/>
      <c r="R167" s="22"/>
    </row>
    <row r="168" spans="1:18" ht="15" customHeight="1" x14ac:dyDescent="0.25">
      <c r="A168" s="15"/>
      <c r="B168" s="16" t="s">
        <v>175</v>
      </c>
      <c r="C168" s="6"/>
      <c r="F168" s="2" t="s">
        <v>6</v>
      </c>
      <c r="H168" s="22"/>
      <c r="I168" s="6"/>
      <c r="N168" s="22"/>
      <c r="O168" s="6"/>
      <c r="R168" s="22"/>
    </row>
    <row r="169" spans="1:18" ht="15" customHeight="1" x14ac:dyDescent="0.25">
      <c r="A169" s="15"/>
      <c r="B169" s="16" t="s">
        <v>176</v>
      </c>
      <c r="C169" s="6"/>
      <c r="F169" s="2" t="s">
        <v>6</v>
      </c>
      <c r="H169" s="22"/>
      <c r="I169" s="6"/>
      <c r="N169" s="22"/>
      <c r="O169" s="6"/>
      <c r="R169" s="22"/>
    </row>
    <row r="170" spans="1:18" ht="15" customHeight="1" x14ac:dyDescent="0.25">
      <c r="A170" s="15"/>
      <c r="B170" s="16" t="s">
        <v>177</v>
      </c>
      <c r="C170" s="6"/>
      <c r="F170" s="2" t="s">
        <v>6</v>
      </c>
      <c r="H170" s="22"/>
      <c r="I170" s="6"/>
      <c r="N170" s="22"/>
      <c r="O170" s="6"/>
      <c r="R170" s="22"/>
    </row>
    <row r="171" spans="1:18" ht="15" customHeight="1" x14ac:dyDescent="0.25">
      <c r="A171" s="15"/>
      <c r="B171" s="16" t="s">
        <v>178</v>
      </c>
      <c r="C171" s="6"/>
      <c r="F171" s="2" t="s">
        <v>6</v>
      </c>
      <c r="H171" s="22"/>
      <c r="I171" s="6"/>
      <c r="N171" s="22"/>
      <c r="O171" s="6"/>
      <c r="R171" s="22"/>
    </row>
    <row r="172" spans="1:18" ht="15" customHeight="1" x14ac:dyDescent="0.25">
      <c r="A172" s="15"/>
      <c r="B172" s="16" t="s">
        <v>179</v>
      </c>
      <c r="C172" s="6"/>
      <c r="F172" s="2" t="s">
        <v>6</v>
      </c>
      <c r="H172" s="22"/>
      <c r="I172" s="6"/>
      <c r="N172" s="22"/>
      <c r="O172" s="6"/>
      <c r="R172" s="22"/>
    </row>
    <row r="173" spans="1:18" ht="15" customHeight="1" x14ac:dyDescent="0.25">
      <c r="A173" s="38" t="s">
        <v>432</v>
      </c>
      <c r="B173" s="16" t="s">
        <v>180</v>
      </c>
      <c r="C173" s="6">
        <v>0</v>
      </c>
      <c r="D173" s="2">
        <v>0</v>
      </c>
      <c r="E173" s="2">
        <v>0</v>
      </c>
      <c r="F173" s="2" t="s">
        <v>104</v>
      </c>
      <c r="G173" s="2">
        <v>0</v>
      </c>
      <c r="H173" s="22"/>
      <c r="I173" s="6">
        <v>0</v>
      </c>
      <c r="J173" s="2">
        <v>0</v>
      </c>
      <c r="K173" s="2">
        <v>0</v>
      </c>
      <c r="L173" s="2" t="s">
        <v>81</v>
      </c>
      <c r="M173" s="2">
        <v>0</v>
      </c>
      <c r="N173" s="22"/>
      <c r="O173" s="6">
        <v>0</v>
      </c>
      <c r="P173" s="2">
        <v>0</v>
      </c>
      <c r="Q173" s="2">
        <v>0</v>
      </c>
      <c r="R173" s="22"/>
    </row>
    <row r="174" spans="1:18" ht="15" customHeight="1" x14ac:dyDescent="0.25">
      <c r="A174" s="38"/>
      <c r="B174" s="16"/>
      <c r="C174" s="6"/>
      <c r="H174" s="22"/>
      <c r="I174" s="6"/>
      <c r="N174" s="22"/>
      <c r="O174" s="6"/>
      <c r="R174" s="22"/>
    </row>
    <row r="175" spans="1:18" ht="15" customHeight="1" thickBot="1" x14ac:dyDescent="0.3">
      <c r="A175" s="17"/>
      <c r="B175" s="18"/>
      <c r="C175" s="7"/>
      <c r="D175" s="8"/>
      <c r="E175" s="8"/>
      <c r="F175" s="8"/>
      <c r="G175" s="8"/>
      <c r="H175" s="23"/>
      <c r="I175" s="7"/>
      <c r="J175" s="8"/>
      <c r="K175" s="8"/>
      <c r="L175" s="8"/>
      <c r="M175" s="8"/>
      <c r="N175" s="23"/>
      <c r="O175" s="7"/>
      <c r="P175" s="8"/>
      <c r="Q175" s="8"/>
      <c r="R175" s="23"/>
    </row>
    <row r="176" spans="1:18" ht="15" customHeight="1" thickBot="1" x14ac:dyDescent="0.3"/>
    <row r="177" spans="1:20" ht="15" customHeight="1" x14ac:dyDescent="0.25">
      <c r="A177" s="2"/>
      <c r="B177" s="3" t="s">
        <v>10</v>
      </c>
      <c r="C177" s="4">
        <f>COUNTIF(C185:C209,"A")</f>
        <v>0</v>
      </c>
      <c r="D177" s="5">
        <f t="shared" ref="D177:H177" si="86">COUNTIF(D185:D209,"A")</f>
        <v>0</v>
      </c>
      <c r="E177" s="5">
        <f t="shared" si="86"/>
        <v>0</v>
      </c>
      <c r="F177" s="5">
        <f t="shared" si="86"/>
        <v>19</v>
      </c>
      <c r="G177" s="5">
        <f t="shared" si="86"/>
        <v>0</v>
      </c>
      <c r="H177" s="5">
        <f t="shared" si="86"/>
        <v>0</v>
      </c>
      <c r="I177" s="5">
        <f>COUNTIF(I185:I209,"A")</f>
        <v>0</v>
      </c>
      <c r="J177" s="5">
        <f t="shared" ref="J177:N177" si="87">COUNTIF(J185:J209,"A")</f>
        <v>0</v>
      </c>
      <c r="K177" s="5">
        <f t="shared" si="87"/>
        <v>0</v>
      </c>
      <c r="L177" s="5">
        <f t="shared" si="87"/>
        <v>0</v>
      </c>
      <c r="M177" s="5">
        <f t="shared" si="87"/>
        <v>0</v>
      </c>
      <c r="N177" s="5">
        <f t="shared" si="87"/>
        <v>0</v>
      </c>
      <c r="O177" s="5">
        <f>COUNTIF(O185:O209,"A")</f>
        <v>0</v>
      </c>
      <c r="P177" s="5">
        <f t="shared" ref="P177:R177" si="88">COUNTIF(P185:P209,"A")</f>
        <v>0</v>
      </c>
      <c r="Q177" s="5">
        <f t="shared" si="88"/>
        <v>0</v>
      </c>
      <c r="R177" s="10">
        <f t="shared" si="88"/>
        <v>0</v>
      </c>
      <c r="S177" s="26" t="s">
        <v>74</v>
      </c>
    </row>
    <row r="178" spans="1:20" ht="15" customHeight="1" x14ac:dyDescent="0.25">
      <c r="A178" s="25" t="s">
        <v>52</v>
      </c>
      <c r="B178" s="3" t="s">
        <v>11</v>
      </c>
      <c r="C178" s="28">
        <f>C177/C180</f>
        <v>0</v>
      </c>
      <c r="D178" s="29">
        <f t="shared" ref="D178:H178" si="89">D177/D180</f>
        <v>0</v>
      </c>
      <c r="E178" s="29">
        <f t="shared" si="89"/>
        <v>0</v>
      </c>
      <c r="F178" s="29">
        <f t="shared" si="89"/>
        <v>0.79166666666666663</v>
      </c>
      <c r="G178" s="29">
        <f t="shared" si="89"/>
        <v>0</v>
      </c>
      <c r="H178" s="29" t="e">
        <f t="shared" si="89"/>
        <v>#DIV/0!</v>
      </c>
      <c r="I178" s="29">
        <f>I177/I180</f>
        <v>0</v>
      </c>
      <c r="J178" s="29">
        <f t="shared" ref="J178:N178" si="90">J177/J180</f>
        <v>0</v>
      </c>
      <c r="K178" s="29">
        <f t="shared" si="90"/>
        <v>0</v>
      </c>
      <c r="L178" s="29">
        <f t="shared" si="90"/>
        <v>0</v>
      </c>
      <c r="M178" s="29">
        <f t="shared" si="90"/>
        <v>0</v>
      </c>
      <c r="N178" s="29" t="e">
        <f t="shared" si="90"/>
        <v>#DIV/0!</v>
      </c>
      <c r="O178" s="29">
        <f>O177/O180</f>
        <v>0</v>
      </c>
      <c r="P178" s="29">
        <f t="shared" ref="P178:R178" si="91">P177/P180</f>
        <v>0</v>
      </c>
      <c r="Q178" s="29">
        <f t="shared" si="91"/>
        <v>0</v>
      </c>
      <c r="R178" s="30" t="e">
        <f t="shared" si="91"/>
        <v>#DIV/0!</v>
      </c>
      <c r="S178" s="2" t="s">
        <v>6</v>
      </c>
      <c r="T178" s="1" t="s">
        <v>75</v>
      </c>
    </row>
    <row r="179" spans="1:20" ht="15" customHeight="1" x14ac:dyDescent="0.25">
      <c r="A179" s="9">
        <f>COUNTA(A185:A209)/C182</f>
        <v>0.20833333333333334</v>
      </c>
      <c r="B179" s="3" t="s">
        <v>12</v>
      </c>
      <c r="C179" s="28">
        <f>C177/$C182</f>
        <v>0</v>
      </c>
      <c r="D179" s="29">
        <f>D177/$C182</f>
        <v>0</v>
      </c>
      <c r="E179" s="29">
        <f t="shared" ref="E179:R179" si="92">E177/$C182</f>
        <v>0</v>
      </c>
      <c r="F179" s="29">
        <f t="shared" si="92"/>
        <v>0.79166666666666663</v>
      </c>
      <c r="G179" s="29">
        <f t="shared" si="92"/>
        <v>0</v>
      </c>
      <c r="H179" s="29">
        <f t="shared" si="92"/>
        <v>0</v>
      </c>
      <c r="I179" s="29">
        <f t="shared" si="92"/>
        <v>0</v>
      </c>
      <c r="J179" s="29">
        <f t="shared" si="92"/>
        <v>0</v>
      </c>
      <c r="K179" s="29">
        <f t="shared" si="92"/>
        <v>0</v>
      </c>
      <c r="L179" s="29">
        <f t="shared" si="92"/>
        <v>0</v>
      </c>
      <c r="M179" s="29">
        <f t="shared" si="92"/>
        <v>0</v>
      </c>
      <c r="N179" s="29">
        <f t="shared" si="92"/>
        <v>0</v>
      </c>
      <c r="O179" s="29">
        <f t="shared" si="92"/>
        <v>0</v>
      </c>
      <c r="P179" s="29">
        <f t="shared" si="92"/>
        <v>0</v>
      </c>
      <c r="Q179" s="29">
        <f t="shared" si="92"/>
        <v>0</v>
      </c>
      <c r="R179" s="30">
        <f t="shared" si="92"/>
        <v>0</v>
      </c>
      <c r="S179" s="2" t="s">
        <v>76</v>
      </c>
      <c r="T179" s="1" t="s">
        <v>77</v>
      </c>
    </row>
    <row r="180" spans="1:20" ht="15" customHeight="1" x14ac:dyDescent="0.25">
      <c r="A180" s="24" t="s">
        <v>71</v>
      </c>
      <c r="B180" s="3" t="s">
        <v>8</v>
      </c>
      <c r="C180" s="6">
        <f>COUNTA(C185:C209)</f>
        <v>5</v>
      </c>
      <c r="D180" s="2">
        <f t="shared" ref="D180:H180" si="93">COUNTA(D185:D209)</f>
        <v>5</v>
      </c>
      <c r="E180" s="2">
        <f t="shared" si="93"/>
        <v>5</v>
      </c>
      <c r="F180" s="2">
        <f t="shared" si="93"/>
        <v>24</v>
      </c>
      <c r="G180" s="2">
        <f t="shared" si="93"/>
        <v>5</v>
      </c>
      <c r="H180" s="2">
        <f t="shared" si="93"/>
        <v>0</v>
      </c>
      <c r="I180" s="2">
        <f>COUNTA(I185:I209)</f>
        <v>5</v>
      </c>
      <c r="J180" s="2">
        <f t="shared" ref="J180:N180" si="94">COUNTA(J185:J209)</f>
        <v>5</v>
      </c>
      <c r="K180" s="2">
        <f t="shared" si="94"/>
        <v>5</v>
      </c>
      <c r="L180" s="2">
        <f t="shared" si="94"/>
        <v>5</v>
      </c>
      <c r="M180" s="2">
        <f t="shared" si="94"/>
        <v>5</v>
      </c>
      <c r="N180" s="2">
        <f t="shared" si="94"/>
        <v>0</v>
      </c>
      <c r="O180" s="2">
        <f>COUNTA(O185:O209)</f>
        <v>5</v>
      </c>
      <c r="P180" s="2">
        <f t="shared" ref="P180:R180" si="95">COUNTA(P185:P209)</f>
        <v>5</v>
      </c>
      <c r="Q180" s="2">
        <f t="shared" si="95"/>
        <v>5</v>
      </c>
      <c r="R180" s="11">
        <f t="shared" si="95"/>
        <v>0</v>
      </c>
      <c r="S180" s="2">
        <v>0</v>
      </c>
      <c r="T180" s="1" t="s">
        <v>78</v>
      </c>
    </row>
    <row r="181" spans="1:20" ht="15" customHeight="1" x14ac:dyDescent="0.25">
      <c r="A181" s="33" t="s">
        <v>181</v>
      </c>
      <c r="B181" s="3" t="s">
        <v>9</v>
      </c>
      <c r="C181" s="28">
        <f>C180/$C182</f>
        <v>0.20833333333333334</v>
      </c>
      <c r="D181" s="29">
        <f t="shared" ref="D181" si="96">D180/$C182</f>
        <v>0.20833333333333334</v>
      </c>
      <c r="E181" s="29">
        <f t="shared" ref="E181" si="97">E180/$C182</f>
        <v>0.20833333333333334</v>
      </c>
      <c r="F181" s="29">
        <f t="shared" ref="F181" si="98">F180/$C182</f>
        <v>1</v>
      </c>
      <c r="G181" s="29">
        <f t="shared" ref="G181" si="99">G180/$C182</f>
        <v>0.20833333333333334</v>
      </c>
      <c r="H181" s="29">
        <f t="shared" ref="H181" si="100">H180/$C182</f>
        <v>0</v>
      </c>
      <c r="I181" s="29">
        <f t="shared" ref="I181" si="101">I180/$C182</f>
        <v>0.20833333333333334</v>
      </c>
      <c r="J181" s="29">
        <f t="shared" ref="J181" si="102">J180/$C182</f>
        <v>0.20833333333333334</v>
      </c>
      <c r="K181" s="29">
        <f t="shared" ref="K181" si="103">K180/$C182</f>
        <v>0.20833333333333334</v>
      </c>
      <c r="L181" s="29">
        <f t="shared" ref="L181" si="104">L180/$C182</f>
        <v>0.20833333333333334</v>
      </c>
      <c r="M181" s="29">
        <f t="shared" ref="M181" si="105">M180/$C182</f>
        <v>0.20833333333333334</v>
      </c>
      <c r="N181" s="29">
        <f t="shared" ref="N181" si="106">N180/$C182</f>
        <v>0</v>
      </c>
      <c r="O181" s="29">
        <f t="shared" ref="O181" si="107">O180/$C182</f>
        <v>0.20833333333333334</v>
      </c>
      <c r="P181" s="29">
        <f t="shared" ref="P181" si="108">P180/$C182</f>
        <v>0.20833333333333334</v>
      </c>
      <c r="Q181" s="29">
        <f t="shared" ref="Q181" si="109">Q180/$C182</f>
        <v>0.20833333333333334</v>
      </c>
      <c r="R181" s="30">
        <f t="shared" ref="R181" si="110">R180/$C182</f>
        <v>0</v>
      </c>
      <c r="S181" s="2" t="s">
        <v>81</v>
      </c>
      <c r="T181" s="1" t="s">
        <v>82</v>
      </c>
    </row>
    <row r="182" spans="1:20" ht="15" customHeight="1" thickBot="1" x14ac:dyDescent="0.3">
      <c r="A182" s="24" t="s">
        <v>72</v>
      </c>
      <c r="B182" s="3" t="s">
        <v>7</v>
      </c>
      <c r="C182" s="7">
        <f>COUNTA($B185:$B209)</f>
        <v>24</v>
      </c>
      <c r="D182" s="8"/>
      <c r="E182" s="8"/>
      <c r="F182" s="8"/>
      <c r="G182" s="8"/>
      <c r="H182" s="31"/>
      <c r="I182" s="8"/>
      <c r="J182" s="8"/>
      <c r="K182" s="8"/>
      <c r="L182" s="8"/>
      <c r="M182" s="8"/>
      <c r="N182" s="31"/>
      <c r="O182" s="8"/>
      <c r="P182" s="8"/>
      <c r="Q182" s="8"/>
      <c r="R182" s="18"/>
      <c r="S182" s="2" t="s">
        <v>134</v>
      </c>
      <c r="T182" s="1" t="s">
        <v>135</v>
      </c>
    </row>
    <row r="183" spans="1:20" ht="15" customHeight="1" thickBot="1" x14ac:dyDescent="0.3">
      <c r="A183" s="33" t="s">
        <v>182</v>
      </c>
      <c r="C183" s="35" t="s">
        <v>15</v>
      </c>
      <c r="D183" s="36"/>
      <c r="E183" s="36"/>
      <c r="F183" s="36"/>
      <c r="G183" s="36"/>
      <c r="H183" s="36"/>
      <c r="I183" s="36" t="s">
        <v>13</v>
      </c>
      <c r="J183" s="36"/>
      <c r="K183" s="36"/>
      <c r="L183" s="36"/>
      <c r="M183" s="36"/>
      <c r="N183" s="36"/>
      <c r="O183" s="36" t="s">
        <v>14</v>
      </c>
      <c r="P183" s="36"/>
      <c r="Q183" s="36"/>
      <c r="R183" s="37"/>
    </row>
    <row r="184" spans="1:20" ht="28" customHeight="1" thickBot="1" x14ac:dyDescent="0.3">
      <c r="A184" s="19" t="s">
        <v>1</v>
      </c>
      <c r="B184" s="20" t="s">
        <v>0</v>
      </c>
      <c r="C184" s="12" t="s">
        <v>2</v>
      </c>
      <c r="D184" s="13" t="s">
        <v>3</v>
      </c>
      <c r="E184" s="13" t="s">
        <v>4</v>
      </c>
      <c r="F184" s="21" t="s">
        <v>84</v>
      </c>
      <c r="G184" s="21" t="s">
        <v>34</v>
      </c>
      <c r="H184" s="13" t="s">
        <v>5</v>
      </c>
      <c r="I184" s="13" t="s">
        <v>2</v>
      </c>
      <c r="J184" s="13" t="s">
        <v>3</v>
      </c>
      <c r="K184" s="13" t="s">
        <v>4</v>
      </c>
      <c r="L184" s="21" t="s">
        <v>83</v>
      </c>
      <c r="M184" s="21" t="s">
        <v>34</v>
      </c>
      <c r="N184" s="13" t="s">
        <v>5</v>
      </c>
      <c r="O184" s="13" t="s">
        <v>2</v>
      </c>
      <c r="P184" s="13" t="s">
        <v>3</v>
      </c>
      <c r="Q184" s="13" t="s">
        <v>4</v>
      </c>
      <c r="R184" s="14" t="s">
        <v>5</v>
      </c>
    </row>
    <row r="185" spans="1:20" ht="15" customHeight="1" x14ac:dyDescent="0.25">
      <c r="A185" s="15"/>
      <c r="B185" s="16" t="s">
        <v>183</v>
      </c>
      <c r="C185" s="6"/>
      <c r="F185" s="2" t="s">
        <v>6</v>
      </c>
      <c r="H185" s="22"/>
      <c r="I185" s="6"/>
      <c r="N185" s="22"/>
      <c r="O185" s="6"/>
      <c r="R185" s="22"/>
    </row>
    <row r="186" spans="1:20" ht="15" customHeight="1" x14ac:dyDescent="0.25">
      <c r="A186" s="15"/>
      <c r="B186" s="16" t="s">
        <v>184</v>
      </c>
      <c r="C186" s="6"/>
      <c r="F186" s="2" t="s">
        <v>6</v>
      </c>
      <c r="H186" s="22"/>
      <c r="I186" s="6"/>
      <c r="N186" s="22"/>
      <c r="O186" s="6"/>
      <c r="R186" s="22"/>
    </row>
    <row r="187" spans="1:20" ht="15" customHeight="1" x14ac:dyDescent="0.25">
      <c r="A187" s="15"/>
      <c r="B187" s="16" t="s">
        <v>185</v>
      </c>
      <c r="C187" s="6"/>
      <c r="F187" s="2" t="s">
        <v>6</v>
      </c>
      <c r="H187" s="22"/>
      <c r="I187" s="6"/>
      <c r="N187" s="22"/>
      <c r="O187" s="6"/>
      <c r="R187" s="22"/>
    </row>
    <row r="188" spans="1:20" ht="15" customHeight="1" x14ac:dyDescent="0.25">
      <c r="A188" s="38" t="s">
        <v>433</v>
      </c>
      <c r="B188" s="16" t="s">
        <v>186</v>
      </c>
      <c r="C188" s="6">
        <v>0</v>
      </c>
      <c r="D188" s="2">
        <v>0</v>
      </c>
      <c r="E188" s="2">
        <v>0</v>
      </c>
      <c r="F188" s="2" t="s">
        <v>104</v>
      </c>
      <c r="G188" s="2">
        <v>0</v>
      </c>
      <c r="H188" s="22"/>
      <c r="I188" s="6">
        <v>0</v>
      </c>
      <c r="J188" s="2">
        <v>0</v>
      </c>
      <c r="K188" s="2">
        <v>0</v>
      </c>
      <c r="L188" s="2">
        <v>0</v>
      </c>
      <c r="M188" s="2">
        <v>0</v>
      </c>
      <c r="N188" s="22"/>
      <c r="O188" s="6">
        <v>0</v>
      </c>
      <c r="P188" s="2">
        <v>0</v>
      </c>
      <c r="Q188" s="2">
        <v>0</v>
      </c>
      <c r="R188" s="22"/>
    </row>
    <row r="189" spans="1:20" ht="15" customHeight="1" x14ac:dyDescent="0.25">
      <c r="A189" s="38" t="s">
        <v>433</v>
      </c>
      <c r="B189" s="16" t="s">
        <v>187</v>
      </c>
      <c r="C189" s="6">
        <v>0</v>
      </c>
      <c r="D189" s="2">
        <v>0</v>
      </c>
      <c r="E189" s="2">
        <v>0</v>
      </c>
      <c r="F189" s="2" t="s">
        <v>104</v>
      </c>
      <c r="G189" s="2">
        <v>0</v>
      </c>
      <c r="H189" s="22"/>
      <c r="I189" s="6">
        <v>0</v>
      </c>
      <c r="J189" s="2">
        <v>0</v>
      </c>
      <c r="K189" s="2" t="s">
        <v>134</v>
      </c>
      <c r="L189" s="2">
        <v>0</v>
      </c>
      <c r="M189" s="2">
        <v>0</v>
      </c>
      <c r="N189" s="22"/>
      <c r="O189" s="6">
        <v>0</v>
      </c>
      <c r="P189" s="2">
        <v>0</v>
      </c>
      <c r="Q189" s="2">
        <v>0</v>
      </c>
      <c r="R189" s="22"/>
    </row>
    <row r="190" spans="1:20" ht="15" customHeight="1" x14ac:dyDescent="0.25">
      <c r="A190" s="15"/>
      <c r="B190" s="16" t="s">
        <v>188</v>
      </c>
      <c r="C190" s="6"/>
      <c r="F190" s="2" t="s">
        <v>6</v>
      </c>
      <c r="H190" s="22"/>
      <c r="I190" s="6"/>
      <c r="N190" s="22"/>
      <c r="O190" s="6"/>
      <c r="R190" s="22"/>
    </row>
    <row r="191" spans="1:20" ht="15" customHeight="1" x14ac:dyDescent="0.25">
      <c r="A191" s="15"/>
      <c r="B191" s="16" t="s">
        <v>189</v>
      </c>
      <c r="C191" s="6"/>
      <c r="F191" s="2" t="s">
        <v>6</v>
      </c>
      <c r="H191" s="22"/>
      <c r="I191" s="6"/>
      <c r="N191" s="22"/>
      <c r="O191" s="6"/>
      <c r="R191" s="22"/>
    </row>
    <row r="192" spans="1:20" ht="15" customHeight="1" x14ac:dyDescent="0.25">
      <c r="A192" s="15"/>
      <c r="B192" s="16" t="s">
        <v>190</v>
      </c>
      <c r="C192" s="6"/>
      <c r="F192" s="2" t="s">
        <v>6</v>
      </c>
      <c r="H192" s="22"/>
      <c r="I192" s="6"/>
      <c r="N192" s="22"/>
      <c r="O192" s="6"/>
      <c r="R192" s="22"/>
    </row>
    <row r="193" spans="1:18" ht="15" customHeight="1" x14ac:dyDescent="0.25">
      <c r="A193" s="15"/>
      <c r="B193" s="16" t="s">
        <v>191</v>
      </c>
      <c r="C193" s="6"/>
      <c r="F193" s="2" t="s">
        <v>6</v>
      </c>
      <c r="H193" s="22"/>
      <c r="I193" s="6"/>
      <c r="N193" s="22"/>
      <c r="O193" s="6"/>
      <c r="R193" s="22"/>
    </row>
    <row r="194" spans="1:18" ht="15" customHeight="1" x14ac:dyDescent="0.25">
      <c r="A194" s="15"/>
      <c r="B194" s="16" t="s">
        <v>192</v>
      </c>
      <c r="C194" s="6"/>
      <c r="F194" s="2" t="s">
        <v>6</v>
      </c>
      <c r="H194" s="22"/>
      <c r="I194" s="6"/>
      <c r="N194" s="22"/>
      <c r="O194" s="6"/>
      <c r="R194" s="22"/>
    </row>
    <row r="195" spans="1:18" ht="15" customHeight="1" x14ac:dyDescent="0.25">
      <c r="A195" s="15"/>
      <c r="B195" s="16" t="s">
        <v>193</v>
      </c>
      <c r="C195" s="6"/>
      <c r="F195" s="2" t="s">
        <v>6</v>
      </c>
      <c r="H195" s="22"/>
      <c r="I195" s="6"/>
      <c r="N195" s="22"/>
      <c r="O195" s="6"/>
      <c r="R195" s="22"/>
    </row>
    <row r="196" spans="1:18" ht="15" customHeight="1" x14ac:dyDescent="0.25">
      <c r="A196" s="15"/>
      <c r="B196" s="16" t="s">
        <v>194</v>
      </c>
      <c r="C196" s="6"/>
      <c r="F196" s="2" t="s">
        <v>6</v>
      </c>
      <c r="H196" s="22"/>
      <c r="I196" s="6"/>
      <c r="N196" s="22"/>
      <c r="O196" s="6"/>
      <c r="R196" s="22"/>
    </row>
    <row r="197" spans="1:18" ht="15" customHeight="1" x14ac:dyDescent="0.25">
      <c r="A197" s="15"/>
      <c r="B197" s="16" t="s">
        <v>195</v>
      </c>
      <c r="C197" s="6"/>
      <c r="F197" s="2" t="s">
        <v>6</v>
      </c>
      <c r="H197" s="22"/>
      <c r="I197" s="6"/>
      <c r="N197" s="22"/>
      <c r="O197" s="6"/>
      <c r="R197" s="22"/>
    </row>
    <row r="198" spans="1:18" ht="15" customHeight="1" x14ac:dyDescent="0.25">
      <c r="A198" s="15"/>
      <c r="B198" s="16" t="s">
        <v>196</v>
      </c>
      <c r="C198" s="6"/>
      <c r="F198" s="2" t="s">
        <v>6</v>
      </c>
      <c r="H198" s="22"/>
      <c r="I198" s="6"/>
      <c r="N198" s="22"/>
      <c r="O198" s="6"/>
      <c r="R198" s="22"/>
    </row>
    <row r="199" spans="1:18" ht="15" customHeight="1" x14ac:dyDescent="0.25">
      <c r="A199" s="15"/>
      <c r="B199" s="16" t="s">
        <v>197</v>
      </c>
      <c r="C199" s="6"/>
      <c r="F199" s="2" t="s">
        <v>6</v>
      </c>
      <c r="H199" s="22"/>
      <c r="I199" s="6"/>
      <c r="N199" s="22"/>
      <c r="O199" s="6"/>
      <c r="R199" s="22"/>
    </row>
    <row r="200" spans="1:18" ht="15" customHeight="1" x14ac:dyDescent="0.25">
      <c r="A200" s="38" t="s">
        <v>433</v>
      </c>
      <c r="B200" s="16" t="s">
        <v>198</v>
      </c>
      <c r="C200" s="6">
        <v>0</v>
      </c>
      <c r="D200" s="2">
        <v>0</v>
      </c>
      <c r="E200" s="2">
        <v>0</v>
      </c>
      <c r="F200" s="2" t="s">
        <v>104</v>
      </c>
      <c r="G200" s="2">
        <v>0</v>
      </c>
      <c r="H200" s="22"/>
      <c r="I200" s="6">
        <v>0</v>
      </c>
      <c r="J200" s="2">
        <v>0</v>
      </c>
      <c r="K200" s="2">
        <v>0</v>
      </c>
      <c r="L200" s="2">
        <v>0</v>
      </c>
      <c r="M200" s="2">
        <v>0</v>
      </c>
      <c r="N200" s="22"/>
      <c r="O200" s="6">
        <v>0</v>
      </c>
      <c r="P200" s="2">
        <v>0</v>
      </c>
      <c r="Q200" s="2">
        <v>0</v>
      </c>
      <c r="R200" s="22"/>
    </row>
    <row r="201" spans="1:18" ht="15" customHeight="1" x14ac:dyDescent="0.25">
      <c r="A201" s="38" t="s">
        <v>433</v>
      </c>
      <c r="B201" s="16" t="s">
        <v>199</v>
      </c>
      <c r="C201" s="6">
        <v>0</v>
      </c>
      <c r="D201" s="2">
        <v>0</v>
      </c>
      <c r="E201" s="2">
        <v>0</v>
      </c>
      <c r="F201" s="2" t="s">
        <v>104</v>
      </c>
      <c r="G201" s="2">
        <v>0</v>
      </c>
      <c r="H201" s="22"/>
      <c r="I201" s="6">
        <v>0</v>
      </c>
      <c r="J201" s="2">
        <v>0</v>
      </c>
      <c r="K201" s="2">
        <v>0</v>
      </c>
      <c r="L201" s="2" t="s">
        <v>81</v>
      </c>
      <c r="M201" s="2">
        <v>0</v>
      </c>
      <c r="N201" s="22"/>
      <c r="O201" s="6">
        <v>0</v>
      </c>
      <c r="P201" s="2">
        <v>0</v>
      </c>
      <c r="Q201" s="2">
        <v>0</v>
      </c>
      <c r="R201" s="22"/>
    </row>
    <row r="202" spans="1:18" ht="15" customHeight="1" x14ac:dyDescent="0.25">
      <c r="A202" s="15"/>
      <c r="B202" s="16" t="s">
        <v>200</v>
      </c>
      <c r="C202" s="6"/>
      <c r="F202" s="2" t="s">
        <v>6</v>
      </c>
      <c r="H202" s="22"/>
      <c r="I202" s="6"/>
      <c r="N202" s="22"/>
      <c r="O202" s="6"/>
      <c r="R202" s="22"/>
    </row>
    <row r="203" spans="1:18" ht="15" customHeight="1" x14ac:dyDescent="0.25">
      <c r="A203" s="15"/>
      <c r="B203" s="16" t="s">
        <v>201</v>
      </c>
      <c r="C203" s="6"/>
      <c r="F203" s="2" t="s">
        <v>6</v>
      </c>
      <c r="H203" s="22"/>
      <c r="I203" s="6"/>
      <c r="N203" s="22"/>
      <c r="O203" s="6"/>
      <c r="R203" s="22"/>
    </row>
    <row r="204" spans="1:18" ht="15" customHeight="1" x14ac:dyDescent="0.25">
      <c r="A204" s="38" t="s">
        <v>433</v>
      </c>
      <c r="B204" s="16" t="s">
        <v>202</v>
      </c>
      <c r="C204" s="6">
        <v>0</v>
      </c>
      <c r="D204" s="2">
        <v>0</v>
      </c>
      <c r="E204" s="2">
        <v>0</v>
      </c>
      <c r="F204" s="2">
        <v>0</v>
      </c>
      <c r="G204" s="2">
        <v>0</v>
      </c>
      <c r="H204" s="22"/>
      <c r="I204" s="6">
        <v>0</v>
      </c>
      <c r="J204" s="2">
        <v>0</v>
      </c>
      <c r="K204" s="2">
        <v>0</v>
      </c>
      <c r="L204" s="2" t="s">
        <v>104</v>
      </c>
      <c r="M204" s="2">
        <v>0</v>
      </c>
      <c r="N204" s="22"/>
      <c r="O204" s="6">
        <v>0</v>
      </c>
      <c r="P204" s="2">
        <v>0</v>
      </c>
      <c r="Q204" s="2">
        <v>0</v>
      </c>
      <c r="R204" s="22"/>
    </row>
    <row r="205" spans="1:18" ht="15" customHeight="1" x14ac:dyDescent="0.25">
      <c r="A205" s="15"/>
      <c r="B205" s="16" t="s">
        <v>203</v>
      </c>
      <c r="C205" s="6"/>
      <c r="F205" s="2" t="s">
        <v>6</v>
      </c>
      <c r="H205" s="22"/>
      <c r="I205" s="6"/>
      <c r="N205" s="22"/>
      <c r="O205" s="6"/>
      <c r="R205" s="22"/>
    </row>
    <row r="206" spans="1:18" ht="15" customHeight="1" x14ac:dyDescent="0.25">
      <c r="A206" s="15"/>
      <c r="B206" s="16" t="s">
        <v>204</v>
      </c>
      <c r="C206" s="6"/>
      <c r="F206" s="2" t="s">
        <v>6</v>
      </c>
      <c r="H206" s="22"/>
      <c r="I206" s="6"/>
      <c r="N206" s="22"/>
      <c r="O206" s="6"/>
      <c r="R206" s="22"/>
    </row>
    <row r="207" spans="1:18" ht="15" customHeight="1" x14ac:dyDescent="0.25">
      <c r="A207" s="15"/>
      <c r="B207" s="16" t="s">
        <v>205</v>
      </c>
      <c r="C207" s="6"/>
      <c r="F207" s="2" t="s">
        <v>6</v>
      </c>
      <c r="H207" s="22"/>
      <c r="I207" s="6"/>
      <c r="N207" s="22"/>
      <c r="O207" s="6"/>
      <c r="R207" s="22"/>
    </row>
    <row r="208" spans="1:18" ht="15" customHeight="1" x14ac:dyDescent="0.25">
      <c r="A208" s="15"/>
      <c r="B208" s="16" t="s">
        <v>206</v>
      </c>
      <c r="C208" s="6"/>
      <c r="F208" s="2" t="s">
        <v>6</v>
      </c>
      <c r="H208" s="22"/>
      <c r="I208" s="6"/>
      <c r="N208" s="22"/>
      <c r="O208" s="6"/>
      <c r="R208" s="22"/>
    </row>
    <row r="209" spans="1:20" ht="15" customHeight="1" thickBot="1" x14ac:dyDescent="0.3">
      <c r="A209" s="17"/>
      <c r="B209" s="18"/>
      <c r="C209" s="7"/>
      <c r="D209" s="8"/>
      <c r="E209" s="8"/>
      <c r="F209" s="8"/>
      <c r="G209" s="8"/>
      <c r="H209" s="23"/>
      <c r="I209" s="7"/>
      <c r="J209" s="8"/>
      <c r="K209" s="8"/>
      <c r="L209" s="8"/>
      <c r="M209" s="8"/>
      <c r="N209" s="23"/>
      <c r="O209" s="7"/>
      <c r="P209" s="8"/>
      <c r="Q209" s="8"/>
      <c r="R209" s="23"/>
    </row>
    <row r="210" spans="1:20" ht="15" customHeight="1" thickBot="1" x14ac:dyDescent="0.3"/>
    <row r="211" spans="1:20" ht="15" customHeight="1" x14ac:dyDescent="0.25">
      <c r="A211" s="2"/>
      <c r="B211" s="3" t="s">
        <v>10</v>
      </c>
      <c r="C211" s="4">
        <f>COUNTIF(C219:C243,"A")</f>
        <v>0</v>
      </c>
      <c r="D211" s="5">
        <f t="shared" ref="D211:H211" si="111">COUNTIF(D219:D243,"A")</f>
        <v>0</v>
      </c>
      <c r="E211" s="5">
        <f t="shared" si="111"/>
        <v>0</v>
      </c>
      <c r="F211" s="5">
        <f t="shared" si="111"/>
        <v>19</v>
      </c>
      <c r="G211" s="5">
        <f t="shared" si="111"/>
        <v>0</v>
      </c>
      <c r="H211" s="5">
        <f t="shared" si="111"/>
        <v>0</v>
      </c>
      <c r="I211" s="5">
        <f>COUNTIF(I219:I243,"A")</f>
        <v>0</v>
      </c>
      <c r="J211" s="5">
        <f t="shared" ref="J211:N211" si="112">COUNTIF(J219:J243,"A")</f>
        <v>0</v>
      </c>
      <c r="K211" s="5">
        <f t="shared" si="112"/>
        <v>0</v>
      </c>
      <c r="L211" s="5">
        <f t="shared" si="112"/>
        <v>0</v>
      </c>
      <c r="M211" s="5">
        <f t="shared" si="112"/>
        <v>0</v>
      </c>
      <c r="N211" s="5">
        <f t="shared" si="112"/>
        <v>0</v>
      </c>
      <c r="O211" s="5">
        <f>COUNTIF(O219:O243,"A")</f>
        <v>0</v>
      </c>
      <c r="P211" s="5">
        <f t="shared" ref="P211:R211" si="113">COUNTIF(P219:P243,"A")</f>
        <v>0</v>
      </c>
      <c r="Q211" s="5">
        <f t="shared" si="113"/>
        <v>0</v>
      </c>
      <c r="R211" s="10">
        <f t="shared" si="113"/>
        <v>0</v>
      </c>
      <c r="S211" s="26" t="s">
        <v>74</v>
      </c>
    </row>
    <row r="212" spans="1:20" ht="15" customHeight="1" x14ac:dyDescent="0.25">
      <c r="A212" s="25" t="s">
        <v>52</v>
      </c>
      <c r="B212" s="3" t="s">
        <v>11</v>
      </c>
      <c r="C212" s="28">
        <f>C211/C214</f>
        <v>0</v>
      </c>
      <c r="D212" s="29">
        <f t="shared" ref="D212:H212" si="114">D211/D214</f>
        <v>0</v>
      </c>
      <c r="E212" s="29">
        <f t="shared" si="114"/>
        <v>0</v>
      </c>
      <c r="F212" s="29">
        <f t="shared" si="114"/>
        <v>0.79166666666666663</v>
      </c>
      <c r="G212" s="29">
        <f t="shared" si="114"/>
        <v>0</v>
      </c>
      <c r="H212" s="29" t="e">
        <f t="shared" si="114"/>
        <v>#DIV/0!</v>
      </c>
      <c r="I212" s="29">
        <f>I211/I214</f>
        <v>0</v>
      </c>
      <c r="J212" s="29">
        <f t="shared" ref="J212:N212" si="115">J211/J214</f>
        <v>0</v>
      </c>
      <c r="K212" s="29">
        <f t="shared" si="115"/>
        <v>0</v>
      </c>
      <c r="L212" s="29">
        <f t="shared" si="115"/>
        <v>0</v>
      </c>
      <c r="M212" s="29">
        <f t="shared" si="115"/>
        <v>0</v>
      </c>
      <c r="N212" s="29" t="e">
        <f t="shared" si="115"/>
        <v>#DIV/0!</v>
      </c>
      <c r="O212" s="29">
        <f>O211/O214</f>
        <v>0</v>
      </c>
      <c r="P212" s="29">
        <f t="shared" ref="P212:R212" si="116">P211/P214</f>
        <v>0</v>
      </c>
      <c r="Q212" s="29">
        <f t="shared" si="116"/>
        <v>0</v>
      </c>
      <c r="R212" s="30" t="e">
        <f t="shared" si="116"/>
        <v>#DIV/0!</v>
      </c>
      <c r="S212" s="2" t="s">
        <v>6</v>
      </c>
      <c r="T212" s="1" t="s">
        <v>75</v>
      </c>
    </row>
    <row r="213" spans="1:20" ht="15" customHeight="1" x14ac:dyDescent="0.25">
      <c r="A213" s="9">
        <f>COUNTA(A219:A243)/C216</f>
        <v>0.20833333333333334</v>
      </c>
      <c r="B213" s="3" t="s">
        <v>12</v>
      </c>
      <c r="C213" s="28">
        <f>C211/$C216</f>
        <v>0</v>
      </c>
      <c r="D213" s="29">
        <f>D211/$C216</f>
        <v>0</v>
      </c>
      <c r="E213" s="29">
        <f t="shared" ref="E213:R213" si="117">E211/$C216</f>
        <v>0</v>
      </c>
      <c r="F213" s="29">
        <f t="shared" si="117"/>
        <v>0.79166666666666663</v>
      </c>
      <c r="G213" s="29">
        <f t="shared" si="117"/>
        <v>0</v>
      </c>
      <c r="H213" s="29">
        <f t="shared" si="117"/>
        <v>0</v>
      </c>
      <c r="I213" s="29">
        <f t="shared" si="117"/>
        <v>0</v>
      </c>
      <c r="J213" s="29">
        <f t="shared" si="117"/>
        <v>0</v>
      </c>
      <c r="K213" s="29">
        <f t="shared" si="117"/>
        <v>0</v>
      </c>
      <c r="L213" s="29">
        <f t="shared" si="117"/>
        <v>0</v>
      </c>
      <c r="M213" s="29">
        <f t="shared" si="117"/>
        <v>0</v>
      </c>
      <c r="N213" s="29">
        <f t="shared" si="117"/>
        <v>0</v>
      </c>
      <c r="O213" s="29">
        <f t="shared" si="117"/>
        <v>0</v>
      </c>
      <c r="P213" s="29">
        <f t="shared" si="117"/>
        <v>0</v>
      </c>
      <c r="Q213" s="29">
        <f t="shared" si="117"/>
        <v>0</v>
      </c>
      <c r="R213" s="30">
        <f t="shared" si="117"/>
        <v>0</v>
      </c>
      <c r="S213" s="2" t="s">
        <v>76</v>
      </c>
      <c r="T213" s="1" t="s">
        <v>77</v>
      </c>
    </row>
    <row r="214" spans="1:20" ht="15" customHeight="1" x14ac:dyDescent="0.25">
      <c r="A214" s="24" t="s">
        <v>71</v>
      </c>
      <c r="B214" s="3" t="s">
        <v>8</v>
      </c>
      <c r="C214" s="6">
        <f>COUNTA(C219:C243)</f>
        <v>5</v>
      </c>
      <c r="D214" s="2">
        <f t="shared" ref="D214:H214" si="118">COUNTA(D219:D243)</f>
        <v>5</v>
      </c>
      <c r="E214" s="2">
        <f t="shared" si="118"/>
        <v>5</v>
      </c>
      <c r="F214" s="2">
        <f t="shared" si="118"/>
        <v>24</v>
      </c>
      <c r="G214" s="2">
        <f t="shared" si="118"/>
        <v>5</v>
      </c>
      <c r="H214" s="2">
        <f t="shared" si="118"/>
        <v>0</v>
      </c>
      <c r="I214" s="2">
        <f>COUNTA(I219:I243)</f>
        <v>5</v>
      </c>
      <c r="J214" s="2">
        <f t="shared" ref="J214:N214" si="119">COUNTA(J219:J243)</f>
        <v>5</v>
      </c>
      <c r="K214" s="2">
        <f t="shared" si="119"/>
        <v>5</v>
      </c>
      <c r="L214" s="2">
        <f t="shared" si="119"/>
        <v>5</v>
      </c>
      <c r="M214" s="2">
        <f t="shared" si="119"/>
        <v>5</v>
      </c>
      <c r="N214" s="2">
        <f t="shared" si="119"/>
        <v>0</v>
      </c>
      <c r="O214" s="2">
        <f>COUNTA(O219:O243)</f>
        <v>5</v>
      </c>
      <c r="P214" s="2">
        <f t="shared" ref="P214:R214" si="120">COUNTA(P219:P243)</f>
        <v>5</v>
      </c>
      <c r="Q214" s="2">
        <f t="shared" si="120"/>
        <v>5</v>
      </c>
      <c r="R214" s="11">
        <f t="shared" si="120"/>
        <v>0</v>
      </c>
      <c r="S214" s="2">
        <v>0</v>
      </c>
      <c r="T214" s="1" t="s">
        <v>78</v>
      </c>
    </row>
    <row r="215" spans="1:20" ht="15" customHeight="1" x14ac:dyDescent="0.25">
      <c r="A215" s="33" t="s">
        <v>208</v>
      </c>
      <c r="B215" s="3" t="s">
        <v>9</v>
      </c>
      <c r="C215" s="28">
        <f>C214/$C216</f>
        <v>0.20833333333333334</v>
      </c>
      <c r="D215" s="29">
        <f t="shared" ref="D215" si="121">D214/$C216</f>
        <v>0.20833333333333334</v>
      </c>
      <c r="E215" s="29">
        <f t="shared" ref="E215" si="122">E214/$C216</f>
        <v>0.20833333333333334</v>
      </c>
      <c r="F215" s="29">
        <f t="shared" ref="F215" si="123">F214/$C216</f>
        <v>1</v>
      </c>
      <c r="G215" s="29">
        <f t="shared" ref="G215" si="124">G214/$C216</f>
        <v>0.20833333333333334</v>
      </c>
      <c r="H215" s="29">
        <f t="shared" ref="H215" si="125">H214/$C216</f>
        <v>0</v>
      </c>
      <c r="I215" s="29">
        <f t="shared" ref="I215" si="126">I214/$C216</f>
        <v>0.20833333333333334</v>
      </c>
      <c r="J215" s="29">
        <f t="shared" ref="J215" si="127">J214/$C216</f>
        <v>0.20833333333333334</v>
      </c>
      <c r="K215" s="29">
        <f t="shared" ref="K215" si="128">K214/$C216</f>
        <v>0.20833333333333334</v>
      </c>
      <c r="L215" s="29">
        <f t="shared" ref="L215" si="129">L214/$C216</f>
        <v>0.20833333333333334</v>
      </c>
      <c r="M215" s="29">
        <f t="shared" ref="M215" si="130">M214/$C216</f>
        <v>0.20833333333333334</v>
      </c>
      <c r="N215" s="29">
        <f t="shared" ref="N215" si="131">N214/$C216</f>
        <v>0</v>
      </c>
      <c r="O215" s="29">
        <f t="shared" ref="O215" si="132">O214/$C216</f>
        <v>0.20833333333333334</v>
      </c>
      <c r="P215" s="29">
        <f t="shared" ref="P215" si="133">P214/$C216</f>
        <v>0.20833333333333334</v>
      </c>
      <c r="Q215" s="29">
        <f t="shared" ref="Q215" si="134">Q214/$C216</f>
        <v>0.20833333333333334</v>
      </c>
      <c r="R215" s="30">
        <f t="shared" ref="R215" si="135">R214/$C216</f>
        <v>0</v>
      </c>
      <c r="S215" s="2" t="s">
        <v>81</v>
      </c>
      <c r="T215" s="1" t="s">
        <v>82</v>
      </c>
    </row>
    <row r="216" spans="1:20" ht="15" customHeight="1" thickBot="1" x14ac:dyDescent="0.3">
      <c r="A216" s="24" t="s">
        <v>72</v>
      </c>
      <c r="B216" s="3" t="s">
        <v>7</v>
      </c>
      <c r="C216" s="7">
        <f>COUNTA($B219:$B243)</f>
        <v>24</v>
      </c>
      <c r="D216" s="8"/>
      <c r="E216" s="8"/>
      <c r="F216" s="8"/>
      <c r="G216" s="8"/>
      <c r="H216" s="31"/>
      <c r="I216" s="8"/>
      <c r="J216" s="8"/>
      <c r="K216" s="8"/>
      <c r="L216" s="8"/>
      <c r="M216" s="8"/>
      <c r="N216" s="31"/>
      <c r="O216" s="8"/>
      <c r="P216" s="8"/>
      <c r="Q216" s="8"/>
      <c r="R216" s="18"/>
      <c r="S216" s="2" t="s">
        <v>134</v>
      </c>
      <c r="T216" s="1" t="s">
        <v>135</v>
      </c>
    </row>
    <row r="217" spans="1:20" ht="15" customHeight="1" thickBot="1" x14ac:dyDescent="0.3">
      <c r="A217" s="33" t="s">
        <v>209</v>
      </c>
      <c r="C217" s="35" t="s">
        <v>15</v>
      </c>
      <c r="D217" s="36"/>
      <c r="E217" s="36"/>
      <c r="F217" s="36"/>
      <c r="G217" s="36"/>
      <c r="H217" s="36"/>
      <c r="I217" s="36" t="s">
        <v>13</v>
      </c>
      <c r="J217" s="36"/>
      <c r="K217" s="36"/>
      <c r="L217" s="36"/>
      <c r="M217" s="36"/>
      <c r="N217" s="36"/>
      <c r="O217" s="36" t="s">
        <v>14</v>
      </c>
      <c r="P217" s="36"/>
      <c r="Q217" s="36"/>
      <c r="R217" s="37"/>
    </row>
    <row r="218" spans="1:20" ht="28" customHeight="1" thickBot="1" x14ac:dyDescent="0.3">
      <c r="A218" s="19" t="s">
        <v>1</v>
      </c>
      <c r="B218" s="20" t="s">
        <v>0</v>
      </c>
      <c r="C218" s="12" t="s">
        <v>2</v>
      </c>
      <c r="D218" s="13" t="s">
        <v>3</v>
      </c>
      <c r="E218" s="13" t="s">
        <v>4</v>
      </c>
      <c r="F218" s="21" t="s">
        <v>84</v>
      </c>
      <c r="G218" s="21" t="s">
        <v>34</v>
      </c>
      <c r="H218" s="13" t="s">
        <v>5</v>
      </c>
      <c r="I218" s="13" t="s">
        <v>2</v>
      </c>
      <c r="J218" s="13" t="s">
        <v>3</v>
      </c>
      <c r="K218" s="13" t="s">
        <v>4</v>
      </c>
      <c r="L218" s="21" t="s">
        <v>83</v>
      </c>
      <c r="M218" s="21" t="s">
        <v>34</v>
      </c>
      <c r="N218" s="13" t="s">
        <v>5</v>
      </c>
      <c r="O218" s="13" t="s">
        <v>2</v>
      </c>
      <c r="P218" s="13" t="s">
        <v>3</v>
      </c>
      <c r="Q218" s="13" t="s">
        <v>4</v>
      </c>
      <c r="R218" s="14" t="s">
        <v>5</v>
      </c>
    </row>
    <row r="219" spans="1:20" ht="15" customHeight="1" x14ac:dyDescent="0.25">
      <c r="A219" s="15"/>
      <c r="B219" s="16" t="s">
        <v>210</v>
      </c>
      <c r="C219" s="6"/>
      <c r="F219" s="2" t="s">
        <v>6</v>
      </c>
      <c r="H219" s="22"/>
      <c r="I219" s="6"/>
      <c r="N219" s="22"/>
      <c r="O219" s="6"/>
      <c r="R219" s="22"/>
    </row>
    <row r="220" spans="1:20" ht="15" customHeight="1" x14ac:dyDescent="0.25">
      <c r="A220" s="15" t="s">
        <v>234</v>
      </c>
      <c r="B220" s="16" t="s">
        <v>211</v>
      </c>
      <c r="C220" s="6">
        <v>0</v>
      </c>
      <c r="D220" s="2">
        <v>0</v>
      </c>
      <c r="E220" s="2">
        <v>0</v>
      </c>
      <c r="F220" s="2" t="s">
        <v>104</v>
      </c>
      <c r="G220" s="2">
        <v>0</v>
      </c>
      <c r="H220" s="22"/>
      <c r="I220" s="6">
        <v>0</v>
      </c>
      <c r="J220" s="2">
        <v>0</v>
      </c>
      <c r="K220" s="2" t="s">
        <v>235</v>
      </c>
      <c r="L220" s="2" t="s">
        <v>80</v>
      </c>
      <c r="M220" s="2">
        <v>0</v>
      </c>
      <c r="N220" s="22"/>
      <c r="O220" s="6">
        <v>0</v>
      </c>
      <c r="P220" s="2">
        <v>0</v>
      </c>
      <c r="Q220" s="2">
        <v>0</v>
      </c>
      <c r="R220" s="22"/>
    </row>
    <row r="221" spans="1:20" ht="15" customHeight="1" x14ac:dyDescent="0.25">
      <c r="A221" s="15"/>
      <c r="B221" s="16" t="s">
        <v>212</v>
      </c>
      <c r="C221" s="6"/>
      <c r="F221" s="2" t="s">
        <v>6</v>
      </c>
      <c r="H221" s="22"/>
      <c r="I221" s="6"/>
      <c r="N221" s="22"/>
      <c r="O221" s="6"/>
      <c r="R221" s="22"/>
    </row>
    <row r="222" spans="1:20" ht="15" customHeight="1" x14ac:dyDescent="0.25">
      <c r="A222" s="15"/>
      <c r="B222" s="16" t="s">
        <v>213</v>
      </c>
      <c r="C222" s="6"/>
      <c r="F222" s="2" t="s">
        <v>6</v>
      </c>
      <c r="H222" s="22"/>
      <c r="I222" s="6"/>
      <c r="N222" s="22"/>
      <c r="O222" s="6"/>
      <c r="R222" s="22"/>
    </row>
    <row r="223" spans="1:20" ht="15" customHeight="1" x14ac:dyDescent="0.25">
      <c r="A223" s="15" t="s">
        <v>234</v>
      </c>
      <c r="B223" s="16" t="s">
        <v>214</v>
      </c>
      <c r="C223" s="6">
        <v>0</v>
      </c>
      <c r="D223" s="2">
        <v>0</v>
      </c>
      <c r="E223" s="2">
        <v>0</v>
      </c>
      <c r="F223" s="2" t="s">
        <v>104</v>
      </c>
      <c r="G223" s="2">
        <v>0</v>
      </c>
      <c r="H223" s="22"/>
      <c r="I223" s="6">
        <v>0</v>
      </c>
      <c r="J223" s="2">
        <v>0</v>
      </c>
      <c r="K223" s="2">
        <v>0</v>
      </c>
      <c r="L223" s="2">
        <v>0</v>
      </c>
      <c r="M223" s="2">
        <v>0</v>
      </c>
      <c r="N223" s="22"/>
      <c r="O223" s="6">
        <v>0</v>
      </c>
      <c r="P223" s="2">
        <v>0</v>
      </c>
      <c r="Q223" s="2">
        <v>0</v>
      </c>
      <c r="R223" s="22"/>
    </row>
    <row r="224" spans="1:20" ht="15" customHeight="1" x14ac:dyDescent="0.25">
      <c r="A224" s="15"/>
      <c r="B224" s="16" t="s">
        <v>215</v>
      </c>
      <c r="C224" s="6"/>
      <c r="F224" s="2" t="s">
        <v>6</v>
      </c>
      <c r="H224" s="22"/>
      <c r="I224" s="6"/>
      <c r="N224" s="22"/>
      <c r="O224" s="6"/>
      <c r="R224" s="22"/>
    </row>
    <row r="225" spans="1:18" ht="15" customHeight="1" x14ac:dyDescent="0.25">
      <c r="A225" s="15"/>
      <c r="B225" s="16" t="s">
        <v>216</v>
      </c>
      <c r="C225" s="6"/>
      <c r="F225" s="2" t="s">
        <v>6</v>
      </c>
      <c r="H225" s="22"/>
      <c r="I225" s="6"/>
      <c r="N225" s="22"/>
      <c r="O225" s="6"/>
      <c r="R225" s="22"/>
    </row>
    <row r="226" spans="1:18" ht="15" customHeight="1" x14ac:dyDescent="0.25">
      <c r="A226" s="15"/>
      <c r="B226" s="16" t="s">
        <v>217</v>
      </c>
      <c r="C226" s="6"/>
      <c r="F226" s="2" t="s">
        <v>6</v>
      </c>
      <c r="H226" s="22"/>
      <c r="I226" s="6"/>
      <c r="N226" s="22"/>
      <c r="O226" s="6"/>
      <c r="R226" s="22"/>
    </row>
    <row r="227" spans="1:18" ht="15" customHeight="1" x14ac:dyDescent="0.25">
      <c r="A227" s="15" t="s">
        <v>234</v>
      </c>
      <c r="B227" s="16" t="s">
        <v>218</v>
      </c>
      <c r="C227" s="6">
        <v>0</v>
      </c>
      <c r="D227" s="2">
        <v>0</v>
      </c>
      <c r="E227" s="2">
        <v>0</v>
      </c>
      <c r="F227" s="2" t="s">
        <v>104</v>
      </c>
      <c r="G227" s="2">
        <v>0</v>
      </c>
      <c r="H227" s="22"/>
      <c r="I227" s="6">
        <v>0</v>
      </c>
      <c r="J227" s="2">
        <v>0</v>
      </c>
      <c r="K227" s="2">
        <v>0</v>
      </c>
      <c r="L227" s="2" t="s">
        <v>85</v>
      </c>
      <c r="M227" s="2">
        <v>0</v>
      </c>
      <c r="N227" s="22"/>
      <c r="O227" s="6">
        <v>0</v>
      </c>
      <c r="P227" s="2">
        <v>0</v>
      </c>
      <c r="Q227" s="2">
        <v>0</v>
      </c>
      <c r="R227" s="22"/>
    </row>
    <row r="228" spans="1:18" ht="15" customHeight="1" x14ac:dyDescent="0.25">
      <c r="A228" s="15"/>
      <c r="B228" s="16" t="s">
        <v>219</v>
      </c>
      <c r="C228" s="6"/>
      <c r="F228" s="2" t="s">
        <v>6</v>
      </c>
      <c r="H228" s="22"/>
      <c r="I228" s="6"/>
      <c r="N228" s="22"/>
      <c r="O228" s="6"/>
      <c r="R228" s="22"/>
    </row>
    <row r="229" spans="1:18" ht="15" customHeight="1" x14ac:dyDescent="0.25">
      <c r="A229" s="15"/>
      <c r="B229" s="16" t="s">
        <v>220</v>
      </c>
      <c r="C229" s="6"/>
      <c r="F229" s="2" t="s">
        <v>6</v>
      </c>
      <c r="H229" s="22"/>
      <c r="I229" s="6"/>
      <c r="N229" s="22"/>
      <c r="O229" s="6"/>
      <c r="R229" s="22"/>
    </row>
    <row r="230" spans="1:18" ht="15" customHeight="1" x14ac:dyDescent="0.25">
      <c r="A230" s="15" t="s">
        <v>234</v>
      </c>
      <c r="B230" s="16" t="s">
        <v>221</v>
      </c>
      <c r="C230" s="6">
        <v>0</v>
      </c>
      <c r="D230" s="2">
        <v>0</v>
      </c>
      <c r="E230" s="2">
        <v>0</v>
      </c>
      <c r="F230" s="2" t="s">
        <v>104</v>
      </c>
      <c r="G230" s="2">
        <v>0</v>
      </c>
      <c r="H230" s="22"/>
      <c r="I230" s="6">
        <v>0</v>
      </c>
      <c r="J230" s="2">
        <v>0</v>
      </c>
      <c r="K230" s="2" t="s">
        <v>235</v>
      </c>
      <c r="L230" s="2" t="s">
        <v>85</v>
      </c>
      <c r="M230" s="2">
        <v>0</v>
      </c>
      <c r="N230" s="22"/>
      <c r="O230" s="6">
        <v>0</v>
      </c>
      <c r="P230" s="2">
        <v>0</v>
      </c>
      <c r="Q230" s="2">
        <v>0</v>
      </c>
      <c r="R230" s="22"/>
    </row>
    <row r="231" spans="1:18" ht="15" customHeight="1" x14ac:dyDescent="0.25">
      <c r="A231" s="15"/>
      <c r="B231" s="16" t="s">
        <v>222</v>
      </c>
      <c r="C231" s="6"/>
      <c r="F231" s="2" t="s">
        <v>6</v>
      </c>
      <c r="H231" s="22"/>
      <c r="I231" s="6"/>
      <c r="N231" s="22"/>
      <c r="O231" s="6"/>
      <c r="R231" s="22"/>
    </row>
    <row r="232" spans="1:18" ht="15" customHeight="1" x14ac:dyDescent="0.25">
      <c r="A232" s="15"/>
      <c r="B232" s="16" t="s">
        <v>223</v>
      </c>
      <c r="C232" s="6"/>
      <c r="F232" s="2" t="s">
        <v>6</v>
      </c>
      <c r="H232" s="22"/>
      <c r="I232" s="6"/>
      <c r="N232" s="22"/>
      <c r="O232" s="6"/>
      <c r="R232" s="22"/>
    </row>
    <row r="233" spans="1:18" ht="15" customHeight="1" x14ac:dyDescent="0.25">
      <c r="A233" s="15"/>
      <c r="B233" s="16" t="s">
        <v>224</v>
      </c>
      <c r="C233" s="6"/>
      <c r="F233" s="2" t="s">
        <v>6</v>
      </c>
      <c r="H233" s="22"/>
      <c r="I233" s="6"/>
      <c r="N233" s="22"/>
      <c r="O233" s="6"/>
      <c r="R233" s="22"/>
    </row>
    <row r="234" spans="1:18" ht="15" customHeight="1" x14ac:dyDescent="0.25">
      <c r="A234" s="15"/>
      <c r="B234" s="16" t="s">
        <v>225</v>
      </c>
      <c r="C234" s="6"/>
      <c r="F234" s="2" t="s">
        <v>6</v>
      </c>
      <c r="H234" s="22"/>
      <c r="I234" s="6"/>
      <c r="N234" s="22"/>
      <c r="O234" s="6"/>
      <c r="R234" s="22"/>
    </row>
    <row r="235" spans="1:18" ht="15" customHeight="1" x14ac:dyDescent="0.25">
      <c r="A235" s="15"/>
      <c r="B235" s="16" t="s">
        <v>226</v>
      </c>
      <c r="C235" s="6"/>
      <c r="F235" s="2" t="s">
        <v>6</v>
      </c>
      <c r="H235" s="22"/>
      <c r="I235" s="6"/>
      <c r="N235" s="22"/>
      <c r="O235" s="6"/>
      <c r="R235" s="22"/>
    </row>
    <row r="236" spans="1:18" ht="15" customHeight="1" x14ac:dyDescent="0.25">
      <c r="A236" s="15"/>
      <c r="B236" s="16" t="s">
        <v>227</v>
      </c>
      <c r="C236" s="6"/>
      <c r="F236" s="2" t="s">
        <v>6</v>
      </c>
      <c r="H236" s="22"/>
      <c r="I236" s="6"/>
      <c r="N236" s="22"/>
      <c r="O236" s="6"/>
      <c r="R236" s="22"/>
    </row>
    <row r="237" spans="1:18" ht="15" customHeight="1" x14ac:dyDescent="0.25">
      <c r="A237" s="15"/>
      <c r="B237" s="16" t="s">
        <v>228</v>
      </c>
      <c r="C237" s="6"/>
      <c r="F237" s="2" t="s">
        <v>6</v>
      </c>
      <c r="H237" s="22"/>
      <c r="I237" s="6"/>
      <c r="N237" s="22"/>
      <c r="O237" s="6"/>
      <c r="R237" s="22"/>
    </row>
    <row r="238" spans="1:18" ht="15" customHeight="1" x14ac:dyDescent="0.25">
      <c r="A238" s="15" t="s">
        <v>234</v>
      </c>
      <c r="B238" s="16" t="s">
        <v>229</v>
      </c>
      <c r="C238" s="6">
        <v>0</v>
      </c>
      <c r="D238" s="2">
        <v>0</v>
      </c>
      <c r="E238" s="2">
        <v>0</v>
      </c>
      <c r="F238" s="2" t="s">
        <v>104</v>
      </c>
      <c r="G238" s="2">
        <v>0</v>
      </c>
      <c r="H238" s="22"/>
      <c r="I238" s="6">
        <v>0</v>
      </c>
      <c r="J238" s="2">
        <v>0</v>
      </c>
      <c r="K238" s="2">
        <v>0</v>
      </c>
      <c r="L238" s="2" t="s">
        <v>81</v>
      </c>
      <c r="M238" s="2">
        <v>0</v>
      </c>
      <c r="N238" s="22"/>
      <c r="O238" s="6">
        <v>0</v>
      </c>
      <c r="P238" s="2">
        <v>0</v>
      </c>
      <c r="Q238" s="2">
        <v>0</v>
      </c>
      <c r="R238" s="22"/>
    </row>
    <row r="239" spans="1:18" ht="15" customHeight="1" x14ac:dyDescent="0.25">
      <c r="A239" s="15"/>
      <c r="B239" s="16" t="s">
        <v>230</v>
      </c>
      <c r="C239" s="6"/>
      <c r="F239" s="2" t="s">
        <v>6</v>
      </c>
      <c r="H239" s="22"/>
      <c r="I239" s="6"/>
      <c r="N239" s="22"/>
      <c r="O239" s="6"/>
      <c r="R239" s="22"/>
    </row>
    <row r="240" spans="1:18" ht="15" customHeight="1" x14ac:dyDescent="0.25">
      <c r="A240" s="15"/>
      <c r="B240" s="16" t="s">
        <v>231</v>
      </c>
      <c r="C240" s="6"/>
      <c r="F240" s="2" t="s">
        <v>6</v>
      </c>
      <c r="H240" s="22"/>
      <c r="I240" s="6"/>
      <c r="N240" s="22"/>
      <c r="O240" s="6"/>
      <c r="R240" s="22"/>
    </row>
    <row r="241" spans="1:20" ht="15" customHeight="1" x14ac:dyDescent="0.25">
      <c r="A241" s="15"/>
      <c r="B241" s="16" t="s">
        <v>232</v>
      </c>
      <c r="C241" s="6"/>
      <c r="F241" s="2" t="s">
        <v>6</v>
      </c>
      <c r="H241" s="22"/>
      <c r="I241" s="6"/>
      <c r="N241" s="22"/>
      <c r="O241" s="6"/>
      <c r="R241" s="22"/>
    </row>
    <row r="242" spans="1:20" ht="15" customHeight="1" x14ac:dyDescent="0.25">
      <c r="A242" s="15"/>
      <c r="B242" s="16" t="s">
        <v>233</v>
      </c>
      <c r="C242" s="6"/>
      <c r="F242" s="2" t="s">
        <v>6</v>
      </c>
      <c r="H242" s="22"/>
      <c r="I242" s="6"/>
      <c r="N242" s="22"/>
      <c r="O242" s="6"/>
      <c r="R242" s="22"/>
    </row>
    <row r="243" spans="1:20" ht="15" customHeight="1" thickBot="1" x14ac:dyDescent="0.3">
      <c r="A243" s="17"/>
      <c r="B243" s="18"/>
      <c r="C243" s="7"/>
      <c r="D243" s="8"/>
      <c r="E243" s="8"/>
      <c r="F243" s="8"/>
      <c r="G243" s="8"/>
      <c r="H243" s="23"/>
      <c r="I243" s="7"/>
      <c r="J243" s="8"/>
      <c r="K243" s="8"/>
      <c r="L243" s="8"/>
      <c r="M243" s="8"/>
      <c r="N243" s="23"/>
      <c r="O243" s="7"/>
      <c r="P243" s="8"/>
      <c r="Q243" s="8"/>
      <c r="R243" s="23"/>
    </row>
    <row r="244" spans="1:20" ht="15" customHeight="1" thickBot="1" x14ac:dyDescent="0.3"/>
    <row r="245" spans="1:20" ht="15" customHeight="1" x14ac:dyDescent="0.25">
      <c r="A245" s="2"/>
      <c r="B245" s="3" t="s">
        <v>10</v>
      </c>
      <c r="C245" s="4">
        <f>COUNTIF(C253:C277,"A")</f>
        <v>0</v>
      </c>
      <c r="D245" s="5">
        <f t="shared" ref="D245:H245" si="136">COUNTIF(D253:D277,"A")</f>
        <v>0</v>
      </c>
      <c r="E245" s="5">
        <f t="shared" si="136"/>
        <v>3</v>
      </c>
      <c r="F245" s="5">
        <f t="shared" si="136"/>
        <v>18</v>
      </c>
      <c r="G245" s="5">
        <f t="shared" si="136"/>
        <v>1</v>
      </c>
      <c r="H245" s="5">
        <f t="shared" si="136"/>
        <v>0</v>
      </c>
      <c r="I245" s="5">
        <f>COUNTIF(I253:I277,"A")</f>
        <v>0</v>
      </c>
      <c r="J245" s="5">
        <f t="shared" ref="J245:N245" si="137">COUNTIF(J253:J277,"A")</f>
        <v>0</v>
      </c>
      <c r="K245" s="5">
        <f t="shared" si="137"/>
        <v>3</v>
      </c>
      <c r="L245" s="5">
        <f t="shared" si="137"/>
        <v>0</v>
      </c>
      <c r="M245" s="5">
        <f t="shared" si="137"/>
        <v>1</v>
      </c>
      <c r="N245" s="5">
        <f t="shared" si="137"/>
        <v>0</v>
      </c>
      <c r="O245" s="5">
        <f>COUNTIF(O253:O277,"A")</f>
        <v>0</v>
      </c>
      <c r="P245" s="5">
        <f t="shared" ref="P245:R245" si="138">COUNTIF(P253:P277,"A")</f>
        <v>0</v>
      </c>
      <c r="Q245" s="5">
        <f t="shared" si="138"/>
        <v>3</v>
      </c>
      <c r="R245" s="10">
        <f t="shared" si="138"/>
        <v>0</v>
      </c>
      <c r="S245" s="26" t="s">
        <v>74</v>
      </c>
    </row>
    <row r="246" spans="1:20" ht="15" customHeight="1" x14ac:dyDescent="0.25">
      <c r="A246" s="25" t="s">
        <v>52</v>
      </c>
      <c r="B246" s="3" t="s">
        <v>11</v>
      </c>
      <c r="C246" s="28">
        <f>C245/C248</f>
        <v>0</v>
      </c>
      <c r="D246" s="29">
        <f t="shared" ref="D246:H246" si="139">D245/D248</f>
        <v>0</v>
      </c>
      <c r="E246" s="29">
        <f t="shared" si="139"/>
        <v>0.375</v>
      </c>
      <c r="F246" s="29">
        <f t="shared" si="139"/>
        <v>0.75</v>
      </c>
      <c r="G246" s="29">
        <f t="shared" si="139"/>
        <v>0.125</v>
      </c>
      <c r="H246" s="29" t="e">
        <f t="shared" si="139"/>
        <v>#DIV/0!</v>
      </c>
      <c r="I246" s="29">
        <f>I245/I248</f>
        <v>0</v>
      </c>
      <c r="J246" s="29">
        <f t="shared" ref="J246:N246" si="140">J245/J248</f>
        <v>0</v>
      </c>
      <c r="K246" s="29">
        <f t="shared" si="140"/>
        <v>0.375</v>
      </c>
      <c r="L246" s="29">
        <f t="shared" si="140"/>
        <v>0</v>
      </c>
      <c r="M246" s="29">
        <f t="shared" si="140"/>
        <v>0.125</v>
      </c>
      <c r="N246" s="29" t="e">
        <f t="shared" si="140"/>
        <v>#DIV/0!</v>
      </c>
      <c r="O246" s="29">
        <f>O245/O248</f>
        <v>0</v>
      </c>
      <c r="P246" s="29">
        <f t="shared" ref="P246:R246" si="141">P245/P248</f>
        <v>0</v>
      </c>
      <c r="Q246" s="29">
        <f t="shared" si="141"/>
        <v>0.42857142857142855</v>
      </c>
      <c r="R246" s="30" t="e">
        <f t="shared" si="141"/>
        <v>#DIV/0!</v>
      </c>
      <c r="S246" s="2" t="s">
        <v>6</v>
      </c>
      <c r="T246" s="1" t="s">
        <v>75</v>
      </c>
    </row>
    <row r="247" spans="1:20" ht="15" customHeight="1" x14ac:dyDescent="0.25">
      <c r="A247" s="9">
        <f>COUNTA(A253:A277)/C250</f>
        <v>0.33333333333333331</v>
      </c>
      <c r="B247" s="3" t="s">
        <v>12</v>
      </c>
      <c r="C247" s="28">
        <f>C245/$C250</f>
        <v>0</v>
      </c>
      <c r="D247" s="29">
        <f>D245/$C250</f>
        <v>0</v>
      </c>
      <c r="E247" s="29">
        <f t="shared" ref="E247:R247" si="142">E245/$C250</f>
        <v>0.125</v>
      </c>
      <c r="F247" s="29">
        <f t="shared" si="142"/>
        <v>0.75</v>
      </c>
      <c r="G247" s="29">
        <f t="shared" si="142"/>
        <v>4.1666666666666664E-2</v>
      </c>
      <c r="H247" s="29">
        <f t="shared" si="142"/>
        <v>0</v>
      </c>
      <c r="I247" s="29">
        <f t="shared" si="142"/>
        <v>0</v>
      </c>
      <c r="J247" s="29">
        <f t="shared" si="142"/>
        <v>0</v>
      </c>
      <c r="K247" s="29">
        <f t="shared" si="142"/>
        <v>0.125</v>
      </c>
      <c r="L247" s="29">
        <f t="shared" si="142"/>
        <v>0</v>
      </c>
      <c r="M247" s="29">
        <f t="shared" si="142"/>
        <v>4.1666666666666664E-2</v>
      </c>
      <c r="N247" s="29">
        <f t="shared" si="142"/>
        <v>0</v>
      </c>
      <c r="O247" s="29">
        <f t="shared" si="142"/>
        <v>0</v>
      </c>
      <c r="P247" s="29">
        <f t="shared" si="142"/>
        <v>0</v>
      </c>
      <c r="Q247" s="29">
        <f t="shared" si="142"/>
        <v>0.125</v>
      </c>
      <c r="R247" s="30">
        <f t="shared" si="142"/>
        <v>0</v>
      </c>
      <c r="S247" s="2" t="s">
        <v>76</v>
      </c>
      <c r="T247" s="1" t="s">
        <v>77</v>
      </c>
    </row>
    <row r="248" spans="1:20" ht="15" customHeight="1" x14ac:dyDescent="0.25">
      <c r="A248" s="24" t="s">
        <v>71</v>
      </c>
      <c r="B248" s="3" t="s">
        <v>8</v>
      </c>
      <c r="C248" s="6">
        <f>COUNTA(C253:C277)</f>
        <v>8</v>
      </c>
      <c r="D248" s="2">
        <f t="shared" ref="D248:H248" si="143">COUNTA(D253:D277)</f>
        <v>8</v>
      </c>
      <c r="E248" s="2">
        <f t="shared" si="143"/>
        <v>8</v>
      </c>
      <c r="F248" s="2">
        <f t="shared" si="143"/>
        <v>24</v>
      </c>
      <c r="G248" s="2">
        <f t="shared" si="143"/>
        <v>8</v>
      </c>
      <c r="H248" s="2">
        <f t="shared" si="143"/>
        <v>0</v>
      </c>
      <c r="I248" s="2">
        <f>COUNTA(I253:I277)</f>
        <v>8</v>
      </c>
      <c r="J248" s="2">
        <f t="shared" ref="J248:N248" si="144">COUNTA(J253:J277)</f>
        <v>8</v>
      </c>
      <c r="K248" s="2">
        <f t="shared" si="144"/>
        <v>8</v>
      </c>
      <c r="L248" s="2">
        <f t="shared" si="144"/>
        <v>8</v>
      </c>
      <c r="M248" s="2">
        <f t="shared" si="144"/>
        <v>8</v>
      </c>
      <c r="N248" s="2">
        <f t="shared" si="144"/>
        <v>0</v>
      </c>
      <c r="O248" s="2">
        <f>COUNTA(O253:O277)</f>
        <v>8</v>
      </c>
      <c r="P248" s="2">
        <f t="shared" ref="P248:R248" si="145">COUNTA(P253:P277)</f>
        <v>8</v>
      </c>
      <c r="Q248" s="2">
        <f t="shared" si="145"/>
        <v>7</v>
      </c>
      <c r="R248" s="11">
        <f t="shared" si="145"/>
        <v>0</v>
      </c>
      <c r="S248" s="2">
        <v>0</v>
      </c>
      <c r="T248" s="1" t="s">
        <v>78</v>
      </c>
    </row>
    <row r="249" spans="1:20" ht="15" customHeight="1" x14ac:dyDescent="0.25">
      <c r="A249" s="33" t="s">
        <v>237</v>
      </c>
      <c r="B249" s="3" t="s">
        <v>9</v>
      </c>
      <c r="C249" s="28">
        <f>C248/$C250</f>
        <v>0.33333333333333331</v>
      </c>
      <c r="D249" s="29">
        <f t="shared" ref="D249" si="146">D248/$C250</f>
        <v>0.33333333333333331</v>
      </c>
      <c r="E249" s="29">
        <f t="shared" ref="E249" si="147">E248/$C250</f>
        <v>0.33333333333333331</v>
      </c>
      <c r="F249" s="29">
        <f t="shared" ref="F249" si="148">F248/$C250</f>
        <v>1</v>
      </c>
      <c r="G249" s="29">
        <f t="shared" ref="G249" si="149">G248/$C250</f>
        <v>0.33333333333333331</v>
      </c>
      <c r="H249" s="29">
        <f t="shared" ref="H249" si="150">H248/$C250</f>
        <v>0</v>
      </c>
      <c r="I249" s="29">
        <f t="shared" ref="I249" si="151">I248/$C250</f>
        <v>0.33333333333333331</v>
      </c>
      <c r="J249" s="29">
        <f t="shared" ref="J249" si="152">J248/$C250</f>
        <v>0.33333333333333331</v>
      </c>
      <c r="K249" s="29">
        <f t="shared" ref="K249" si="153">K248/$C250</f>
        <v>0.33333333333333331</v>
      </c>
      <c r="L249" s="29">
        <f t="shared" ref="L249" si="154">L248/$C250</f>
        <v>0.33333333333333331</v>
      </c>
      <c r="M249" s="29">
        <f t="shared" ref="M249" si="155">M248/$C250</f>
        <v>0.33333333333333331</v>
      </c>
      <c r="N249" s="29">
        <f t="shared" ref="N249" si="156">N248/$C250</f>
        <v>0</v>
      </c>
      <c r="O249" s="29">
        <f t="shared" ref="O249" si="157">O248/$C250</f>
        <v>0.33333333333333331</v>
      </c>
      <c r="P249" s="29">
        <f t="shared" ref="P249" si="158">P248/$C250</f>
        <v>0.33333333333333331</v>
      </c>
      <c r="Q249" s="29">
        <f t="shared" ref="Q249" si="159">Q248/$C250</f>
        <v>0.29166666666666669</v>
      </c>
      <c r="R249" s="30">
        <f t="shared" ref="R249" si="160">R248/$C250</f>
        <v>0</v>
      </c>
      <c r="S249" s="2" t="s">
        <v>81</v>
      </c>
      <c r="T249" s="1" t="s">
        <v>82</v>
      </c>
    </row>
    <row r="250" spans="1:20" ht="15" customHeight="1" thickBot="1" x14ac:dyDescent="0.3">
      <c r="A250" s="24" t="s">
        <v>72</v>
      </c>
      <c r="B250" s="3" t="s">
        <v>7</v>
      </c>
      <c r="C250" s="7">
        <f>COUNTA($B253:$B277)</f>
        <v>24</v>
      </c>
      <c r="D250" s="8"/>
      <c r="E250" s="8"/>
      <c r="F250" s="8"/>
      <c r="G250" s="8"/>
      <c r="H250" s="31"/>
      <c r="I250" s="8"/>
      <c r="J250" s="8"/>
      <c r="K250" s="8"/>
      <c r="L250" s="8"/>
      <c r="M250" s="8"/>
      <c r="N250" s="31"/>
      <c r="O250" s="8"/>
      <c r="P250" s="8"/>
      <c r="Q250" s="8"/>
      <c r="R250" s="18"/>
      <c r="S250" s="2" t="s">
        <v>134</v>
      </c>
      <c r="T250" s="1" t="s">
        <v>135</v>
      </c>
    </row>
    <row r="251" spans="1:20" ht="15" customHeight="1" thickBot="1" x14ac:dyDescent="0.3">
      <c r="A251" s="33" t="s">
        <v>236</v>
      </c>
      <c r="C251" s="35" t="s">
        <v>15</v>
      </c>
      <c r="D251" s="36"/>
      <c r="E251" s="36"/>
      <c r="F251" s="36"/>
      <c r="G251" s="36"/>
      <c r="H251" s="36"/>
      <c r="I251" s="36" t="s">
        <v>13</v>
      </c>
      <c r="J251" s="36"/>
      <c r="K251" s="36"/>
      <c r="L251" s="36"/>
      <c r="M251" s="36"/>
      <c r="N251" s="36"/>
      <c r="O251" s="36" t="s">
        <v>14</v>
      </c>
      <c r="P251" s="36"/>
      <c r="Q251" s="36"/>
      <c r="R251" s="37"/>
    </row>
    <row r="252" spans="1:20" ht="28" customHeight="1" thickBot="1" x14ac:dyDescent="0.3">
      <c r="A252" s="19" t="s">
        <v>1</v>
      </c>
      <c r="B252" s="20" t="s">
        <v>0</v>
      </c>
      <c r="C252" s="12" t="s">
        <v>2</v>
      </c>
      <c r="D252" s="13" t="s">
        <v>3</v>
      </c>
      <c r="E252" s="13" t="s">
        <v>4</v>
      </c>
      <c r="F252" s="21" t="s">
        <v>84</v>
      </c>
      <c r="G252" s="21" t="s">
        <v>34</v>
      </c>
      <c r="H252" s="13" t="s">
        <v>5</v>
      </c>
      <c r="I252" s="13" t="s">
        <v>2</v>
      </c>
      <c r="J252" s="13" t="s">
        <v>3</v>
      </c>
      <c r="K252" s="13" t="s">
        <v>4</v>
      </c>
      <c r="L252" s="21" t="s">
        <v>83</v>
      </c>
      <c r="M252" s="21" t="s">
        <v>34</v>
      </c>
      <c r="N252" s="13" t="s">
        <v>5</v>
      </c>
      <c r="O252" s="13" t="s">
        <v>2</v>
      </c>
      <c r="P252" s="13" t="s">
        <v>3</v>
      </c>
      <c r="Q252" s="13" t="s">
        <v>4</v>
      </c>
      <c r="R252" s="14" t="s">
        <v>5</v>
      </c>
    </row>
    <row r="253" spans="1:20" ht="15" customHeight="1" x14ac:dyDescent="0.25">
      <c r="A253" s="15"/>
      <c r="B253" s="16" t="s">
        <v>238</v>
      </c>
      <c r="C253" s="6"/>
      <c r="F253" s="2" t="s">
        <v>6</v>
      </c>
      <c r="H253" s="22"/>
      <c r="I253" s="6"/>
      <c r="N253" s="22"/>
      <c r="O253" s="6"/>
      <c r="R253" s="22"/>
    </row>
    <row r="254" spans="1:20" ht="15" customHeight="1" x14ac:dyDescent="0.25">
      <c r="A254" s="15"/>
      <c r="B254" s="16" t="s">
        <v>239</v>
      </c>
      <c r="C254" s="6"/>
      <c r="F254" s="2" t="s">
        <v>6</v>
      </c>
      <c r="H254" s="22"/>
      <c r="I254" s="6"/>
      <c r="N254" s="22"/>
      <c r="O254" s="6"/>
      <c r="R254" s="22"/>
    </row>
    <row r="255" spans="1:20" ht="15" customHeight="1" x14ac:dyDescent="0.25">
      <c r="A255" s="15"/>
      <c r="B255" s="16" t="s">
        <v>240</v>
      </c>
      <c r="C255" s="6"/>
      <c r="F255" s="2" t="s">
        <v>6</v>
      </c>
      <c r="H255" s="22"/>
      <c r="I255" s="6"/>
      <c r="N255" s="22"/>
      <c r="O255" s="6"/>
      <c r="R255" s="22"/>
    </row>
    <row r="256" spans="1:20" ht="15" customHeight="1" x14ac:dyDescent="0.25">
      <c r="A256" s="15" t="s">
        <v>262</v>
      </c>
      <c r="B256" s="16" t="s">
        <v>241</v>
      </c>
      <c r="C256" s="6">
        <v>0</v>
      </c>
      <c r="D256" s="2">
        <v>0</v>
      </c>
      <c r="E256" s="2" t="s">
        <v>6</v>
      </c>
      <c r="F256" s="2" t="s">
        <v>104</v>
      </c>
      <c r="G256" s="2">
        <v>0</v>
      </c>
      <c r="H256" s="22"/>
      <c r="I256" s="6">
        <v>0</v>
      </c>
      <c r="J256" s="2">
        <v>0</v>
      </c>
      <c r="K256" s="2" t="s">
        <v>6</v>
      </c>
      <c r="L256" s="2" t="s">
        <v>85</v>
      </c>
      <c r="M256" s="2">
        <v>0</v>
      </c>
      <c r="N256" s="22"/>
      <c r="O256" s="6">
        <v>0</v>
      </c>
      <c r="P256" s="2">
        <v>0</v>
      </c>
      <c r="Q256" s="2" t="s">
        <v>6</v>
      </c>
      <c r="R256" s="22"/>
    </row>
    <row r="257" spans="1:18" ht="15" customHeight="1" x14ac:dyDescent="0.25">
      <c r="A257" s="15"/>
      <c r="B257" s="16" t="s">
        <v>242</v>
      </c>
      <c r="C257" s="6"/>
      <c r="F257" s="2" t="s">
        <v>6</v>
      </c>
      <c r="H257" s="22"/>
      <c r="I257" s="6"/>
      <c r="N257" s="22"/>
      <c r="O257" s="6"/>
      <c r="R257" s="22"/>
    </row>
    <row r="258" spans="1:18" ht="15" customHeight="1" x14ac:dyDescent="0.25">
      <c r="A258" s="15"/>
      <c r="B258" s="16" t="s">
        <v>243</v>
      </c>
      <c r="C258" s="6"/>
      <c r="F258" s="2" t="s">
        <v>6</v>
      </c>
      <c r="H258" s="22"/>
      <c r="I258" s="6"/>
      <c r="N258" s="22"/>
      <c r="O258" s="6"/>
      <c r="R258" s="22"/>
    </row>
    <row r="259" spans="1:18" ht="15" customHeight="1" x14ac:dyDescent="0.25">
      <c r="A259" s="15"/>
      <c r="B259" s="16" t="s">
        <v>244</v>
      </c>
      <c r="C259" s="6"/>
      <c r="F259" s="2" t="s">
        <v>6</v>
      </c>
      <c r="H259" s="22"/>
      <c r="I259" s="6"/>
      <c r="N259" s="22"/>
      <c r="O259" s="6"/>
      <c r="R259" s="22"/>
    </row>
    <row r="260" spans="1:18" ht="15" customHeight="1" x14ac:dyDescent="0.25">
      <c r="A260" s="15"/>
      <c r="B260" s="16" t="s">
        <v>245</v>
      </c>
      <c r="C260" s="6"/>
      <c r="F260" s="2" t="s">
        <v>6</v>
      </c>
      <c r="H260" s="22"/>
      <c r="I260" s="6"/>
      <c r="N260" s="22"/>
      <c r="O260" s="6"/>
      <c r="R260" s="22"/>
    </row>
    <row r="261" spans="1:18" ht="15" customHeight="1" x14ac:dyDescent="0.25">
      <c r="A261" s="15"/>
      <c r="B261" s="16" t="s">
        <v>246</v>
      </c>
      <c r="C261" s="6"/>
      <c r="F261" s="2" t="s">
        <v>6</v>
      </c>
      <c r="H261" s="22"/>
      <c r="I261" s="6"/>
      <c r="N261" s="22"/>
      <c r="O261" s="6"/>
      <c r="R261" s="22"/>
    </row>
    <row r="262" spans="1:18" ht="15" customHeight="1" x14ac:dyDescent="0.25">
      <c r="A262" s="15" t="s">
        <v>262</v>
      </c>
      <c r="B262" s="16" t="s">
        <v>247</v>
      </c>
      <c r="C262" s="6">
        <v>0</v>
      </c>
      <c r="D262" s="2">
        <v>0</v>
      </c>
      <c r="E262" s="2" t="s">
        <v>6</v>
      </c>
      <c r="F262" s="2" t="s">
        <v>104</v>
      </c>
      <c r="G262" s="2">
        <v>0</v>
      </c>
      <c r="H262" s="22"/>
      <c r="I262" s="6">
        <v>0</v>
      </c>
      <c r="J262" s="2">
        <v>0</v>
      </c>
      <c r="K262" s="2" t="s">
        <v>6</v>
      </c>
      <c r="L262" s="2" t="s">
        <v>85</v>
      </c>
      <c r="M262" s="2">
        <v>0</v>
      </c>
      <c r="N262" s="22"/>
      <c r="O262" s="6">
        <v>0</v>
      </c>
      <c r="P262" s="2">
        <v>0</v>
      </c>
      <c r="Q262" s="2" t="s">
        <v>6</v>
      </c>
      <c r="R262" s="22"/>
    </row>
    <row r="263" spans="1:18" ht="15" customHeight="1" x14ac:dyDescent="0.25">
      <c r="A263" s="15" t="s">
        <v>262</v>
      </c>
      <c r="B263" s="16" t="s">
        <v>248</v>
      </c>
      <c r="C263" s="6">
        <v>0</v>
      </c>
      <c r="D263" s="2">
        <v>0</v>
      </c>
      <c r="E263" s="2" t="s">
        <v>134</v>
      </c>
      <c r="F263" s="2">
        <v>0</v>
      </c>
      <c r="G263" s="2" t="s">
        <v>134</v>
      </c>
      <c r="H263" s="22"/>
      <c r="I263" s="6">
        <v>0</v>
      </c>
      <c r="J263" s="2">
        <v>0</v>
      </c>
      <c r="K263" s="2" t="s">
        <v>134</v>
      </c>
      <c r="L263" s="2" t="s">
        <v>85</v>
      </c>
      <c r="M263" s="2">
        <v>0</v>
      </c>
      <c r="N263" s="22"/>
      <c r="O263" s="6">
        <v>0</v>
      </c>
      <c r="P263" s="2">
        <v>0</v>
      </c>
      <c r="Q263" s="2" t="s">
        <v>134</v>
      </c>
      <c r="R263" s="22"/>
    </row>
    <row r="264" spans="1:18" ht="15" customHeight="1" x14ac:dyDescent="0.25">
      <c r="A264" s="15" t="s">
        <v>262</v>
      </c>
      <c r="B264" s="16" t="s">
        <v>249</v>
      </c>
      <c r="C264" s="6">
        <v>0</v>
      </c>
      <c r="D264" s="2">
        <v>0</v>
      </c>
      <c r="E264" s="2">
        <v>0</v>
      </c>
      <c r="F264" s="2" t="s">
        <v>104</v>
      </c>
      <c r="G264" s="2" t="s">
        <v>235</v>
      </c>
      <c r="H264" s="22"/>
      <c r="I264" s="6">
        <v>0</v>
      </c>
      <c r="J264" s="2">
        <v>0</v>
      </c>
      <c r="K264" s="2" t="s">
        <v>134</v>
      </c>
      <c r="L264" s="2" t="s">
        <v>80</v>
      </c>
      <c r="M264" s="2" t="s">
        <v>235</v>
      </c>
      <c r="N264" s="22"/>
      <c r="O264" s="6">
        <v>0</v>
      </c>
      <c r="P264" s="2">
        <v>0</v>
      </c>
      <c r="R264" s="22"/>
    </row>
    <row r="265" spans="1:18" ht="15" customHeight="1" x14ac:dyDescent="0.25">
      <c r="A265" s="15" t="s">
        <v>262</v>
      </c>
      <c r="B265" s="16" t="s">
        <v>250</v>
      </c>
      <c r="C265" s="6">
        <v>0</v>
      </c>
      <c r="D265" s="2">
        <v>0</v>
      </c>
      <c r="E265" s="2">
        <v>0</v>
      </c>
      <c r="F265" s="2" t="s">
        <v>6</v>
      </c>
      <c r="G265" s="2" t="s">
        <v>6</v>
      </c>
      <c r="H265" s="22"/>
      <c r="I265" s="6">
        <v>0</v>
      </c>
      <c r="J265" s="2">
        <v>0</v>
      </c>
      <c r="K265" s="2">
        <v>0</v>
      </c>
      <c r="L265" s="2" t="s">
        <v>104</v>
      </c>
      <c r="M265" s="2" t="s">
        <v>6</v>
      </c>
      <c r="N265" s="22"/>
      <c r="O265" s="6">
        <v>0</v>
      </c>
      <c r="P265" s="2">
        <v>0</v>
      </c>
      <c r="Q265" s="2">
        <v>0</v>
      </c>
      <c r="R265" s="22"/>
    </row>
    <row r="266" spans="1:18" ht="15" customHeight="1" x14ac:dyDescent="0.25">
      <c r="A266" s="15"/>
      <c r="B266" s="16" t="s">
        <v>251</v>
      </c>
      <c r="C266" s="6"/>
      <c r="F266" s="2" t="s">
        <v>6</v>
      </c>
      <c r="H266" s="22"/>
      <c r="I266" s="6"/>
      <c r="N266" s="22"/>
      <c r="O266" s="6"/>
      <c r="R266" s="22"/>
    </row>
    <row r="267" spans="1:18" ht="15" customHeight="1" x14ac:dyDescent="0.25">
      <c r="A267" s="15"/>
      <c r="B267" s="16" t="s">
        <v>252</v>
      </c>
      <c r="C267" s="6"/>
      <c r="F267" s="2" t="s">
        <v>6</v>
      </c>
      <c r="H267" s="22"/>
      <c r="I267" s="6"/>
      <c r="N267" s="22"/>
      <c r="O267" s="6"/>
      <c r="R267" s="22"/>
    </row>
    <row r="268" spans="1:18" ht="15" customHeight="1" x14ac:dyDescent="0.25">
      <c r="A268" s="15" t="s">
        <v>262</v>
      </c>
      <c r="B268" s="16" t="s">
        <v>253</v>
      </c>
      <c r="C268" s="6">
        <v>0</v>
      </c>
      <c r="D268" s="2">
        <v>0</v>
      </c>
      <c r="E268" s="2" t="s">
        <v>6</v>
      </c>
      <c r="F268" s="2" t="s">
        <v>104</v>
      </c>
      <c r="G268" s="2">
        <v>0</v>
      </c>
      <c r="H268" s="22"/>
      <c r="I268" s="6">
        <v>0</v>
      </c>
      <c r="J268" s="2">
        <v>0</v>
      </c>
      <c r="K268" s="2" t="s">
        <v>6</v>
      </c>
      <c r="L268" s="2" t="s">
        <v>104</v>
      </c>
      <c r="M268" s="2">
        <v>0</v>
      </c>
      <c r="N268" s="22"/>
      <c r="O268" s="6">
        <v>0</v>
      </c>
      <c r="P268" s="2">
        <v>0</v>
      </c>
      <c r="Q268" s="2" t="s">
        <v>6</v>
      </c>
      <c r="R268" s="22"/>
    </row>
    <row r="269" spans="1:18" ht="15" customHeight="1" x14ac:dyDescent="0.25">
      <c r="A269" s="15" t="s">
        <v>262</v>
      </c>
      <c r="B269" s="16" t="s">
        <v>254</v>
      </c>
      <c r="C269" s="6">
        <v>0</v>
      </c>
      <c r="D269" s="2">
        <v>0</v>
      </c>
      <c r="E269" s="2">
        <v>0</v>
      </c>
      <c r="F269" s="2" t="s">
        <v>104</v>
      </c>
      <c r="G269" s="2">
        <v>0</v>
      </c>
      <c r="H269" s="22"/>
      <c r="I269" s="6">
        <v>0</v>
      </c>
      <c r="J269" s="2">
        <v>0</v>
      </c>
      <c r="K269" s="2">
        <v>0</v>
      </c>
      <c r="L269" s="2">
        <v>0</v>
      </c>
      <c r="M269" s="2">
        <v>0</v>
      </c>
      <c r="N269" s="22"/>
      <c r="O269" s="6">
        <v>0</v>
      </c>
      <c r="P269" s="2">
        <v>0</v>
      </c>
      <c r="Q269" s="2">
        <v>0</v>
      </c>
      <c r="R269" s="22"/>
    </row>
    <row r="270" spans="1:18" ht="15" customHeight="1" x14ac:dyDescent="0.25">
      <c r="A270" s="15"/>
      <c r="B270" s="16" t="s">
        <v>255</v>
      </c>
      <c r="C270" s="6"/>
      <c r="F270" s="2" t="s">
        <v>6</v>
      </c>
      <c r="H270" s="22"/>
      <c r="I270" s="6"/>
      <c r="N270" s="22"/>
      <c r="O270" s="6"/>
      <c r="R270" s="22"/>
    </row>
    <row r="271" spans="1:18" ht="15" customHeight="1" x14ac:dyDescent="0.25">
      <c r="A271" s="15" t="s">
        <v>262</v>
      </c>
      <c r="B271" s="16" t="s">
        <v>256</v>
      </c>
      <c r="C271" s="6">
        <v>0</v>
      </c>
      <c r="D271" s="2">
        <v>0</v>
      </c>
      <c r="E271" s="2">
        <v>0</v>
      </c>
      <c r="F271" s="2" t="s">
        <v>6</v>
      </c>
      <c r="G271" s="2">
        <v>0</v>
      </c>
      <c r="H271" s="22"/>
      <c r="I271" s="6">
        <v>0</v>
      </c>
      <c r="J271" s="2">
        <v>0</v>
      </c>
      <c r="K271" s="2">
        <v>0</v>
      </c>
      <c r="L271" s="2" t="s">
        <v>104</v>
      </c>
      <c r="M271" s="2">
        <v>0</v>
      </c>
      <c r="N271" s="22"/>
      <c r="O271" s="6">
        <v>0</v>
      </c>
      <c r="P271" s="2">
        <v>0</v>
      </c>
      <c r="Q271" s="2">
        <v>0</v>
      </c>
      <c r="R271" s="22"/>
    </row>
    <row r="272" spans="1:18" ht="15" customHeight="1" x14ac:dyDescent="0.25">
      <c r="A272" s="15"/>
      <c r="B272" s="16" t="s">
        <v>257</v>
      </c>
      <c r="C272" s="6"/>
      <c r="F272" s="2" t="s">
        <v>6</v>
      </c>
      <c r="H272" s="22"/>
      <c r="I272" s="6"/>
      <c r="N272" s="22"/>
      <c r="O272" s="6"/>
      <c r="R272" s="22"/>
    </row>
    <row r="273" spans="1:20" ht="15" customHeight="1" x14ac:dyDescent="0.25">
      <c r="A273" s="15"/>
      <c r="B273" s="16" t="s">
        <v>258</v>
      </c>
      <c r="C273" s="6"/>
      <c r="F273" s="2" t="s">
        <v>6</v>
      </c>
      <c r="H273" s="22"/>
      <c r="I273" s="6"/>
      <c r="N273" s="22"/>
      <c r="O273" s="6"/>
      <c r="R273" s="22"/>
    </row>
    <row r="274" spans="1:20" ht="15" customHeight="1" x14ac:dyDescent="0.25">
      <c r="A274" s="15"/>
      <c r="B274" s="16" t="s">
        <v>259</v>
      </c>
      <c r="C274" s="6"/>
      <c r="F274" s="2" t="s">
        <v>6</v>
      </c>
      <c r="H274" s="22"/>
      <c r="I274" s="6"/>
      <c r="N274" s="22"/>
      <c r="O274" s="6"/>
      <c r="R274" s="22"/>
    </row>
    <row r="275" spans="1:20" ht="15" customHeight="1" x14ac:dyDescent="0.25">
      <c r="A275" s="15"/>
      <c r="B275" s="16" t="s">
        <v>260</v>
      </c>
      <c r="C275" s="6"/>
      <c r="F275" s="2" t="s">
        <v>6</v>
      </c>
      <c r="H275" s="22"/>
      <c r="I275" s="6"/>
      <c r="N275" s="22"/>
      <c r="O275" s="6"/>
      <c r="R275" s="22"/>
    </row>
    <row r="276" spans="1:20" ht="15" customHeight="1" x14ac:dyDescent="0.25">
      <c r="A276" s="15"/>
      <c r="B276" s="16" t="s">
        <v>261</v>
      </c>
      <c r="C276" s="6"/>
      <c r="F276" s="2" t="s">
        <v>6</v>
      </c>
      <c r="H276" s="22"/>
      <c r="I276" s="6"/>
      <c r="N276" s="22"/>
      <c r="O276" s="6"/>
      <c r="R276" s="22"/>
    </row>
    <row r="277" spans="1:20" ht="15" customHeight="1" thickBot="1" x14ac:dyDescent="0.3">
      <c r="A277" s="17"/>
      <c r="B277" s="18"/>
      <c r="C277" s="7"/>
      <c r="D277" s="8"/>
      <c r="E277" s="8"/>
      <c r="F277" s="8"/>
      <c r="G277" s="8"/>
      <c r="H277" s="23"/>
      <c r="I277" s="7"/>
      <c r="J277" s="8"/>
      <c r="K277" s="8"/>
      <c r="L277" s="8"/>
      <c r="M277" s="8"/>
      <c r="N277" s="23"/>
      <c r="O277" s="7"/>
      <c r="P277" s="8"/>
      <c r="Q277" s="8"/>
      <c r="R277" s="23"/>
    </row>
    <row r="278" spans="1:20" ht="15" customHeight="1" thickBot="1" x14ac:dyDescent="0.3"/>
    <row r="279" spans="1:20" ht="15" customHeight="1" x14ac:dyDescent="0.25">
      <c r="A279" s="2"/>
      <c r="B279" s="3" t="s">
        <v>10</v>
      </c>
      <c r="C279" s="4">
        <f>COUNTIF(C287:C305,"A")</f>
        <v>0</v>
      </c>
      <c r="D279" s="5">
        <f>COUNTIF(D287:D305,"A")</f>
        <v>0</v>
      </c>
      <c r="E279" s="5">
        <f>COUNTIF(E287:E305,"A")</f>
        <v>0</v>
      </c>
      <c r="F279" s="5">
        <f>COUNTIF(F287:F305,"A")</f>
        <v>13</v>
      </c>
      <c r="G279" s="5">
        <f>COUNTIF(G287:G305,"A")</f>
        <v>0</v>
      </c>
      <c r="H279" s="5">
        <f>COUNTIF(H287:H305,"A")</f>
        <v>0</v>
      </c>
      <c r="I279" s="5">
        <f>COUNTIF(I287:I305,"A")</f>
        <v>0</v>
      </c>
      <c r="J279" s="5">
        <f>COUNTIF(J287:J305,"A")</f>
        <v>0</v>
      </c>
      <c r="K279" s="5">
        <f>COUNTIF(K287:K305,"A")</f>
        <v>0</v>
      </c>
      <c r="L279" s="5">
        <f>COUNTIF(L287:L305,"A")</f>
        <v>0</v>
      </c>
      <c r="M279" s="5">
        <f>COUNTIF(M287:M305,"A")</f>
        <v>0</v>
      </c>
      <c r="N279" s="5">
        <f>COUNTIF(N287:N305,"A")</f>
        <v>0</v>
      </c>
      <c r="O279" s="5">
        <f>COUNTIF(O287:O305,"A")</f>
        <v>0</v>
      </c>
      <c r="P279" s="5">
        <f>COUNTIF(P287:P305,"A")</f>
        <v>0</v>
      </c>
      <c r="Q279" s="5">
        <f>COUNTIF(Q287:Q305,"A")</f>
        <v>0</v>
      </c>
      <c r="R279" s="10">
        <f>COUNTIF(R287:R305,"A")</f>
        <v>0</v>
      </c>
      <c r="S279" s="26" t="s">
        <v>74</v>
      </c>
    </row>
    <row r="280" spans="1:20" ht="15" customHeight="1" x14ac:dyDescent="0.25">
      <c r="A280" s="25" t="s">
        <v>52</v>
      </c>
      <c r="B280" s="3" t="s">
        <v>11</v>
      </c>
      <c r="C280" s="28">
        <f>C279/C282</f>
        <v>0</v>
      </c>
      <c r="D280" s="29">
        <f t="shared" ref="D280:H280" si="161">D279/D282</f>
        <v>0</v>
      </c>
      <c r="E280" s="29">
        <f t="shared" si="161"/>
        <v>0</v>
      </c>
      <c r="F280" s="29">
        <f t="shared" si="161"/>
        <v>0.8125</v>
      </c>
      <c r="G280" s="29">
        <f t="shared" si="161"/>
        <v>0</v>
      </c>
      <c r="H280" s="29" t="e">
        <f t="shared" si="161"/>
        <v>#DIV/0!</v>
      </c>
      <c r="I280" s="29">
        <f>I279/I282</f>
        <v>0</v>
      </c>
      <c r="J280" s="29">
        <f t="shared" ref="J280:N280" si="162">J279/J282</f>
        <v>0</v>
      </c>
      <c r="K280" s="29">
        <f t="shared" si="162"/>
        <v>0</v>
      </c>
      <c r="L280" s="29">
        <f t="shared" si="162"/>
        <v>0</v>
      </c>
      <c r="M280" s="29">
        <f t="shared" si="162"/>
        <v>0</v>
      </c>
      <c r="N280" s="29" t="e">
        <f t="shared" si="162"/>
        <v>#DIV/0!</v>
      </c>
      <c r="O280" s="29">
        <f>O279/O282</f>
        <v>0</v>
      </c>
      <c r="P280" s="29">
        <f t="shared" ref="P280:R280" si="163">P279/P282</f>
        <v>0</v>
      </c>
      <c r="Q280" s="29">
        <f t="shared" si="163"/>
        <v>0</v>
      </c>
      <c r="R280" s="30" t="e">
        <f t="shared" si="163"/>
        <v>#DIV/0!</v>
      </c>
      <c r="S280" s="2" t="s">
        <v>6</v>
      </c>
      <c r="T280" s="1" t="s">
        <v>75</v>
      </c>
    </row>
    <row r="281" spans="1:20" ht="15" customHeight="1" x14ac:dyDescent="0.25">
      <c r="A281" s="9">
        <f>COUNTA(A287:A305)/C284</f>
        <v>0.1875</v>
      </c>
      <c r="B281" s="3" t="s">
        <v>12</v>
      </c>
      <c r="C281" s="28">
        <f>C279/$C284</f>
        <v>0</v>
      </c>
      <c r="D281" s="29">
        <f>D279/$C284</f>
        <v>0</v>
      </c>
      <c r="E281" s="29">
        <f t="shared" ref="E281:R281" si="164">E279/$C284</f>
        <v>0</v>
      </c>
      <c r="F281" s="29">
        <f t="shared" si="164"/>
        <v>0.8125</v>
      </c>
      <c r="G281" s="29">
        <f t="shared" si="164"/>
        <v>0</v>
      </c>
      <c r="H281" s="29">
        <f t="shared" si="164"/>
        <v>0</v>
      </c>
      <c r="I281" s="29">
        <f t="shared" si="164"/>
        <v>0</v>
      </c>
      <c r="J281" s="29">
        <f t="shared" si="164"/>
        <v>0</v>
      </c>
      <c r="K281" s="29">
        <f t="shared" si="164"/>
        <v>0</v>
      </c>
      <c r="L281" s="29">
        <f t="shared" si="164"/>
        <v>0</v>
      </c>
      <c r="M281" s="29">
        <f t="shared" si="164"/>
        <v>0</v>
      </c>
      <c r="N281" s="29">
        <f t="shared" si="164"/>
        <v>0</v>
      </c>
      <c r="O281" s="29">
        <f t="shared" si="164"/>
        <v>0</v>
      </c>
      <c r="P281" s="29">
        <f t="shared" si="164"/>
        <v>0</v>
      </c>
      <c r="Q281" s="29">
        <f t="shared" si="164"/>
        <v>0</v>
      </c>
      <c r="R281" s="30">
        <f t="shared" si="164"/>
        <v>0</v>
      </c>
      <c r="S281" s="2" t="s">
        <v>76</v>
      </c>
      <c r="T281" s="1" t="s">
        <v>77</v>
      </c>
    </row>
    <row r="282" spans="1:20" ht="15" customHeight="1" x14ac:dyDescent="0.25">
      <c r="A282" s="24" t="s">
        <v>71</v>
      </c>
      <c r="B282" s="3" t="s">
        <v>8</v>
      </c>
      <c r="C282" s="6">
        <f>COUNTA(C287:C305)</f>
        <v>3</v>
      </c>
      <c r="D282" s="2">
        <f>COUNTA(D287:D305)</f>
        <v>3</v>
      </c>
      <c r="E282" s="2">
        <f>COUNTA(E287:E305)</f>
        <v>2</v>
      </c>
      <c r="F282" s="2">
        <f>COUNTA(F287:F305)</f>
        <v>16</v>
      </c>
      <c r="G282" s="2">
        <f>COUNTA(G287:G305)</f>
        <v>3</v>
      </c>
      <c r="H282" s="2">
        <f>COUNTA(H287:H305)</f>
        <v>0</v>
      </c>
      <c r="I282" s="2">
        <f>COUNTA(I287:I305)</f>
        <v>3</v>
      </c>
      <c r="J282" s="2">
        <f>COUNTA(J287:J305)</f>
        <v>3</v>
      </c>
      <c r="K282" s="2">
        <f>COUNTA(K287:K305)</f>
        <v>2</v>
      </c>
      <c r="L282" s="2">
        <f>COUNTA(L287:L305)</f>
        <v>3</v>
      </c>
      <c r="M282" s="2">
        <f>COUNTA(M287:M305)</f>
        <v>3</v>
      </c>
      <c r="N282" s="2">
        <f>COUNTA(N287:N305)</f>
        <v>0</v>
      </c>
      <c r="O282" s="2">
        <f>COUNTA(O287:O305)</f>
        <v>3</v>
      </c>
      <c r="P282" s="2">
        <f>COUNTA(P287:P305)</f>
        <v>3</v>
      </c>
      <c r="Q282" s="2">
        <f>COUNTA(Q287:Q305)</f>
        <v>2</v>
      </c>
      <c r="R282" s="11">
        <f>COUNTA(R287:R305)</f>
        <v>0</v>
      </c>
      <c r="S282" s="2">
        <v>0</v>
      </c>
      <c r="T282" s="1" t="s">
        <v>78</v>
      </c>
    </row>
    <row r="283" spans="1:20" ht="15" customHeight="1" x14ac:dyDescent="0.25">
      <c r="A283" s="33" t="s">
        <v>35</v>
      </c>
      <c r="B283" s="3" t="s">
        <v>9</v>
      </c>
      <c r="C283" s="28">
        <f>C282/$C284</f>
        <v>0.1875</v>
      </c>
      <c r="D283" s="29">
        <f t="shared" ref="D283" si="165">D282/$C284</f>
        <v>0.1875</v>
      </c>
      <c r="E283" s="29">
        <f t="shared" ref="E283" si="166">E282/$C284</f>
        <v>0.125</v>
      </c>
      <c r="F283" s="29">
        <f t="shared" ref="F283" si="167">F282/$C284</f>
        <v>1</v>
      </c>
      <c r="G283" s="29">
        <f t="shared" ref="G283" si="168">G282/$C284</f>
        <v>0.1875</v>
      </c>
      <c r="H283" s="29">
        <f t="shared" ref="H283" si="169">H282/$C284</f>
        <v>0</v>
      </c>
      <c r="I283" s="29">
        <f t="shared" ref="I283" si="170">I282/$C284</f>
        <v>0.1875</v>
      </c>
      <c r="J283" s="29">
        <f t="shared" ref="J283" si="171">J282/$C284</f>
        <v>0.1875</v>
      </c>
      <c r="K283" s="29">
        <f t="shared" ref="K283" si="172">K282/$C284</f>
        <v>0.125</v>
      </c>
      <c r="L283" s="29">
        <f t="shared" ref="L283" si="173">L282/$C284</f>
        <v>0.1875</v>
      </c>
      <c r="M283" s="29">
        <f t="shared" ref="M283" si="174">M282/$C284</f>
        <v>0.1875</v>
      </c>
      <c r="N283" s="29">
        <f t="shared" ref="N283" si="175">N282/$C284</f>
        <v>0</v>
      </c>
      <c r="O283" s="29">
        <f t="shared" ref="O283" si="176">O282/$C284</f>
        <v>0.1875</v>
      </c>
      <c r="P283" s="29">
        <f t="shared" ref="P283" si="177">P282/$C284</f>
        <v>0.1875</v>
      </c>
      <c r="Q283" s="29">
        <f t="shared" ref="Q283" si="178">Q282/$C284</f>
        <v>0.125</v>
      </c>
      <c r="R283" s="30">
        <f t="shared" ref="R283" si="179">R282/$C284</f>
        <v>0</v>
      </c>
      <c r="S283" s="2" t="s">
        <v>81</v>
      </c>
      <c r="T283" s="1" t="s">
        <v>82</v>
      </c>
    </row>
    <row r="284" spans="1:20" ht="15" customHeight="1" thickBot="1" x14ac:dyDescent="0.3">
      <c r="A284" s="24" t="s">
        <v>72</v>
      </c>
      <c r="B284" s="3" t="s">
        <v>7</v>
      </c>
      <c r="C284" s="7">
        <f>COUNTA($B287:$B305)</f>
        <v>16</v>
      </c>
      <c r="D284" s="8"/>
      <c r="E284" s="8"/>
      <c r="F284" s="8"/>
      <c r="G284" s="8"/>
      <c r="H284" s="31"/>
      <c r="I284" s="8"/>
      <c r="J284" s="8"/>
      <c r="K284" s="8"/>
      <c r="L284" s="8"/>
      <c r="M284" s="8"/>
      <c r="N284" s="31"/>
      <c r="O284" s="8"/>
      <c r="P284" s="8"/>
      <c r="Q284" s="8"/>
      <c r="R284" s="18"/>
      <c r="S284" s="2" t="s">
        <v>134</v>
      </c>
      <c r="T284" s="1" t="s">
        <v>135</v>
      </c>
    </row>
    <row r="285" spans="1:20" ht="15" customHeight="1" thickBot="1" x14ac:dyDescent="0.3">
      <c r="A285" s="33" t="s">
        <v>263</v>
      </c>
      <c r="C285" s="35" t="s">
        <v>15</v>
      </c>
      <c r="D285" s="36"/>
      <c r="E285" s="36"/>
      <c r="F285" s="36"/>
      <c r="G285" s="36"/>
      <c r="H285" s="36"/>
      <c r="I285" s="36" t="s">
        <v>13</v>
      </c>
      <c r="J285" s="36"/>
      <c r="K285" s="36"/>
      <c r="L285" s="36"/>
      <c r="M285" s="36"/>
      <c r="N285" s="36"/>
      <c r="O285" s="36" t="s">
        <v>14</v>
      </c>
      <c r="P285" s="36"/>
      <c r="Q285" s="36"/>
      <c r="R285" s="37"/>
    </row>
    <row r="286" spans="1:20" ht="28" customHeight="1" thickBot="1" x14ac:dyDescent="0.3">
      <c r="A286" s="19" t="s">
        <v>1</v>
      </c>
      <c r="B286" s="20" t="s">
        <v>0</v>
      </c>
      <c r="C286" s="12" t="s">
        <v>2</v>
      </c>
      <c r="D286" s="13" t="s">
        <v>3</v>
      </c>
      <c r="E286" s="13" t="s">
        <v>4</v>
      </c>
      <c r="F286" s="21" t="s">
        <v>84</v>
      </c>
      <c r="G286" s="21" t="s">
        <v>34</v>
      </c>
      <c r="H286" s="13" t="s">
        <v>5</v>
      </c>
      <c r="I286" s="13" t="s">
        <v>2</v>
      </c>
      <c r="J286" s="13" t="s">
        <v>3</v>
      </c>
      <c r="K286" s="13" t="s">
        <v>4</v>
      </c>
      <c r="L286" s="21" t="s">
        <v>83</v>
      </c>
      <c r="M286" s="21" t="s">
        <v>34</v>
      </c>
      <c r="N286" s="13" t="s">
        <v>5</v>
      </c>
      <c r="O286" s="13" t="s">
        <v>2</v>
      </c>
      <c r="P286" s="13" t="s">
        <v>3</v>
      </c>
      <c r="Q286" s="13" t="s">
        <v>4</v>
      </c>
      <c r="R286" s="14" t="s">
        <v>5</v>
      </c>
    </row>
    <row r="287" spans="1:20" ht="15" customHeight="1" x14ac:dyDescent="0.25">
      <c r="A287" s="15"/>
      <c r="B287" s="16" t="s">
        <v>36</v>
      </c>
      <c r="C287" s="6"/>
      <c r="F287" s="2" t="s">
        <v>6</v>
      </c>
      <c r="H287" s="22"/>
      <c r="I287" s="6"/>
      <c r="N287" s="22"/>
      <c r="O287" s="6"/>
      <c r="R287" s="22"/>
    </row>
    <row r="288" spans="1:20" ht="15" customHeight="1" x14ac:dyDescent="0.25">
      <c r="A288" s="15"/>
      <c r="B288" s="16" t="s">
        <v>37</v>
      </c>
      <c r="C288" s="6"/>
      <c r="F288" s="2" t="s">
        <v>6</v>
      </c>
      <c r="H288" s="22"/>
      <c r="I288" s="6"/>
      <c r="N288" s="22"/>
      <c r="O288" s="6"/>
      <c r="R288" s="22"/>
    </row>
    <row r="289" spans="1:19" ht="15" customHeight="1" x14ac:dyDescent="0.25">
      <c r="A289" s="15"/>
      <c r="B289" s="16" t="s">
        <v>38</v>
      </c>
      <c r="C289" s="6"/>
      <c r="F289" s="2" t="s">
        <v>6</v>
      </c>
      <c r="H289" s="22"/>
      <c r="I289" s="6"/>
      <c r="N289" s="22"/>
      <c r="O289" s="6"/>
      <c r="R289" s="22"/>
    </row>
    <row r="290" spans="1:19" ht="15" customHeight="1" x14ac:dyDescent="0.25">
      <c r="A290" s="15"/>
      <c r="B290" s="16" t="s">
        <v>39</v>
      </c>
      <c r="C290" s="6"/>
      <c r="F290" s="2" t="s">
        <v>6</v>
      </c>
      <c r="H290" s="22"/>
      <c r="I290" s="6"/>
      <c r="N290" s="22"/>
      <c r="O290" s="6"/>
      <c r="R290" s="22"/>
    </row>
    <row r="291" spans="1:19" ht="15" customHeight="1" x14ac:dyDescent="0.25">
      <c r="A291" s="15"/>
      <c r="B291" s="16" t="s">
        <v>40</v>
      </c>
      <c r="C291" s="6"/>
      <c r="F291" s="2" t="s">
        <v>6</v>
      </c>
      <c r="H291" s="22"/>
      <c r="I291" s="6"/>
      <c r="N291" s="22"/>
      <c r="O291" s="6"/>
      <c r="R291" s="22"/>
    </row>
    <row r="292" spans="1:19" ht="15" customHeight="1" x14ac:dyDescent="0.25">
      <c r="A292" s="38" t="s">
        <v>432</v>
      </c>
      <c r="B292" s="16" t="s">
        <v>41</v>
      </c>
      <c r="C292" s="6">
        <v>0</v>
      </c>
      <c r="D292" s="2">
        <v>0</v>
      </c>
      <c r="E292" s="2">
        <v>0</v>
      </c>
      <c r="F292" s="2" t="s">
        <v>104</v>
      </c>
      <c r="G292" s="2" t="s">
        <v>235</v>
      </c>
      <c r="H292" s="22"/>
      <c r="I292" s="6">
        <v>0</v>
      </c>
      <c r="J292" s="2">
        <v>0</v>
      </c>
      <c r="K292" s="2">
        <v>0</v>
      </c>
      <c r="L292" s="2">
        <v>0</v>
      </c>
      <c r="M292" s="2">
        <v>0</v>
      </c>
      <c r="N292" s="22"/>
      <c r="O292" s="6">
        <v>0</v>
      </c>
      <c r="P292" s="2">
        <v>0</v>
      </c>
      <c r="Q292" s="2">
        <v>0</v>
      </c>
      <c r="R292" s="22"/>
    </row>
    <row r="293" spans="1:19" ht="15" customHeight="1" x14ac:dyDescent="0.25">
      <c r="A293" s="38" t="s">
        <v>432</v>
      </c>
      <c r="B293" s="16" t="s">
        <v>42</v>
      </c>
      <c r="C293" s="6">
        <v>0</v>
      </c>
      <c r="D293" s="2">
        <v>0</v>
      </c>
      <c r="E293" s="2">
        <v>0</v>
      </c>
      <c r="F293" s="2">
        <v>0</v>
      </c>
      <c r="G293" s="2">
        <v>0</v>
      </c>
      <c r="H293" s="22"/>
      <c r="I293" s="6">
        <v>0</v>
      </c>
      <c r="J293" s="2">
        <v>0</v>
      </c>
      <c r="K293" s="2">
        <v>0</v>
      </c>
      <c r="L293" s="2" t="s">
        <v>81</v>
      </c>
      <c r="M293" s="2">
        <v>0</v>
      </c>
      <c r="N293" s="22"/>
      <c r="O293" s="6">
        <v>0</v>
      </c>
      <c r="P293" s="2">
        <v>0</v>
      </c>
      <c r="Q293" s="2">
        <v>0</v>
      </c>
      <c r="R293" s="22"/>
    </row>
    <row r="294" spans="1:19" ht="15" customHeight="1" x14ac:dyDescent="0.25">
      <c r="A294" s="15"/>
      <c r="B294" s="16" t="s">
        <v>43</v>
      </c>
      <c r="C294" s="6"/>
      <c r="F294" s="2" t="s">
        <v>6</v>
      </c>
      <c r="H294" s="22"/>
      <c r="I294" s="6"/>
      <c r="N294" s="22"/>
      <c r="O294" s="6"/>
      <c r="R294" s="22"/>
    </row>
    <row r="295" spans="1:19" ht="15" customHeight="1" x14ac:dyDescent="0.25">
      <c r="A295" s="15"/>
      <c r="B295" s="16" t="s">
        <v>44</v>
      </c>
      <c r="C295" s="6"/>
      <c r="F295" s="2" t="s">
        <v>6</v>
      </c>
      <c r="H295" s="22"/>
      <c r="I295" s="6"/>
      <c r="N295" s="22"/>
      <c r="O295" s="6"/>
      <c r="R295" s="22"/>
    </row>
    <row r="296" spans="1:19" ht="15" customHeight="1" x14ac:dyDescent="0.25">
      <c r="A296" s="15"/>
      <c r="B296" s="16" t="s">
        <v>45</v>
      </c>
      <c r="C296" s="6"/>
      <c r="F296" s="2" t="s">
        <v>6</v>
      </c>
      <c r="H296" s="22"/>
      <c r="I296" s="6"/>
      <c r="N296" s="22"/>
      <c r="O296" s="6"/>
      <c r="R296" s="22"/>
    </row>
    <row r="297" spans="1:19" ht="15" customHeight="1" x14ac:dyDescent="0.25">
      <c r="A297" s="38" t="s">
        <v>432</v>
      </c>
      <c r="B297" s="16" t="s">
        <v>46</v>
      </c>
      <c r="C297" s="6">
        <v>0</v>
      </c>
      <c r="D297" s="2">
        <v>0</v>
      </c>
      <c r="F297" s="2">
        <v>0</v>
      </c>
      <c r="G297" s="2">
        <v>0</v>
      </c>
      <c r="H297" s="22"/>
      <c r="I297" s="6">
        <v>0</v>
      </c>
      <c r="J297" s="2">
        <v>0</v>
      </c>
      <c r="L297" s="2" t="s">
        <v>81</v>
      </c>
      <c r="M297" s="2">
        <v>0</v>
      </c>
      <c r="N297" s="22"/>
      <c r="O297" s="6">
        <v>0</v>
      </c>
      <c r="P297" s="2">
        <v>0</v>
      </c>
      <c r="R297" s="22"/>
      <c r="S297" s="27" t="s">
        <v>264</v>
      </c>
    </row>
    <row r="298" spans="1:19" ht="15" customHeight="1" x14ac:dyDescent="0.25">
      <c r="A298" s="15"/>
      <c r="B298" s="16" t="s">
        <v>47</v>
      </c>
      <c r="C298" s="6"/>
      <c r="F298" s="2" t="s">
        <v>6</v>
      </c>
      <c r="H298" s="22"/>
      <c r="I298" s="6"/>
      <c r="N298" s="22"/>
      <c r="O298" s="6"/>
      <c r="R298" s="22"/>
    </row>
    <row r="299" spans="1:19" ht="15" customHeight="1" x14ac:dyDescent="0.25">
      <c r="A299" s="15"/>
      <c r="B299" s="16" t="s">
        <v>48</v>
      </c>
      <c r="C299" s="6"/>
      <c r="F299" s="2" t="s">
        <v>6</v>
      </c>
      <c r="H299" s="22"/>
      <c r="I299" s="6"/>
      <c r="N299" s="22"/>
      <c r="O299" s="6"/>
      <c r="R299" s="22"/>
    </row>
    <row r="300" spans="1:19" ht="15" customHeight="1" x14ac:dyDescent="0.25">
      <c r="A300" s="15"/>
      <c r="B300" s="16" t="s">
        <v>49</v>
      </c>
      <c r="C300" s="6"/>
      <c r="F300" s="2" t="s">
        <v>6</v>
      </c>
      <c r="H300" s="22"/>
      <c r="I300" s="6"/>
      <c r="N300" s="22"/>
      <c r="O300" s="6"/>
      <c r="R300" s="22"/>
    </row>
    <row r="301" spans="1:19" ht="15" customHeight="1" x14ac:dyDescent="0.25">
      <c r="A301" s="15"/>
      <c r="B301" s="16" t="s">
        <v>50</v>
      </c>
      <c r="C301" s="6"/>
      <c r="F301" s="2" t="s">
        <v>6</v>
      </c>
      <c r="H301" s="22"/>
      <c r="I301" s="6"/>
      <c r="N301" s="22"/>
      <c r="O301" s="6"/>
      <c r="R301" s="22"/>
    </row>
    <row r="302" spans="1:19" ht="15" customHeight="1" x14ac:dyDescent="0.25">
      <c r="A302" s="15"/>
      <c r="B302" s="16" t="s">
        <v>51</v>
      </c>
      <c r="C302" s="6"/>
      <c r="F302" s="2" t="s">
        <v>6</v>
      </c>
      <c r="H302" s="22"/>
      <c r="I302" s="6"/>
      <c r="N302" s="22"/>
      <c r="O302" s="6"/>
      <c r="R302" s="22"/>
    </row>
    <row r="303" spans="1:19" ht="15" customHeight="1" x14ac:dyDescent="0.25">
      <c r="A303" s="15"/>
      <c r="B303" s="16"/>
      <c r="C303" s="6"/>
      <c r="H303" s="22"/>
      <c r="I303" s="6"/>
      <c r="N303" s="22"/>
      <c r="O303" s="6"/>
      <c r="R303" s="22"/>
    </row>
    <row r="304" spans="1:19" ht="15" customHeight="1" x14ac:dyDescent="0.25">
      <c r="A304" s="15"/>
      <c r="B304" s="16"/>
      <c r="C304" s="6"/>
      <c r="H304" s="22"/>
      <c r="I304" s="6"/>
      <c r="N304" s="22"/>
      <c r="O304" s="6"/>
      <c r="R304" s="22"/>
    </row>
    <row r="305" spans="1:20" ht="15" customHeight="1" thickBot="1" x14ac:dyDescent="0.3">
      <c r="A305" s="17"/>
      <c r="B305" s="18"/>
      <c r="C305" s="7"/>
      <c r="D305" s="8"/>
      <c r="E305" s="8"/>
      <c r="F305" s="8"/>
      <c r="G305" s="8"/>
      <c r="H305" s="23"/>
      <c r="I305" s="7"/>
      <c r="J305" s="8"/>
      <c r="K305" s="8"/>
      <c r="L305" s="8"/>
      <c r="M305" s="8"/>
      <c r="N305" s="23"/>
      <c r="O305" s="7"/>
      <c r="P305" s="8"/>
      <c r="Q305" s="8"/>
      <c r="R305" s="23"/>
    </row>
    <row r="306" spans="1:20" ht="15" customHeight="1" thickBot="1" x14ac:dyDescent="0.3"/>
    <row r="307" spans="1:20" ht="15" customHeight="1" x14ac:dyDescent="0.25">
      <c r="A307" s="2"/>
      <c r="B307" s="3" t="s">
        <v>10</v>
      </c>
      <c r="C307" s="4">
        <f>COUNTIF(C315:C333,"A")</f>
        <v>0</v>
      </c>
      <c r="D307" s="5">
        <f>COUNTIF(D315:D333,"A")</f>
        <v>0</v>
      </c>
      <c r="E307" s="5">
        <f>COUNTIF(E315:E333,"A")</f>
        <v>1</v>
      </c>
      <c r="F307" s="5">
        <f>COUNTIF(F315:F333,"A")</f>
        <v>13</v>
      </c>
      <c r="G307" s="5">
        <f>COUNTIF(G315:G333,"A")</f>
        <v>0</v>
      </c>
      <c r="H307" s="5">
        <f>COUNTIF(H315:H333,"A")</f>
        <v>0</v>
      </c>
      <c r="I307" s="5">
        <f>COUNTIF(I315:I333,"A")</f>
        <v>0</v>
      </c>
      <c r="J307" s="5">
        <f>COUNTIF(J315:J333,"A")</f>
        <v>0</v>
      </c>
      <c r="K307" s="5">
        <f>COUNTIF(K315:K333,"A")</f>
        <v>1</v>
      </c>
      <c r="L307" s="5">
        <f>COUNTIF(L315:L333,"A")</f>
        <v>0</v>
      </c>
      <c r="M307" s="5">
        <f>COUNTIF(M315:M333,"A")</f>
        <v>1</v>
      </c>
      <c r="N307" s="5">
        <f>COUNTIF(N315:N333,"A")</f>
        <v>0</v>
      </c>
      <c r="O307" s="5">
        <f>COUNTIF(O315:O333,"A")</f>
        <v>0</v>
      </c>
      <c r="P307" s="5">
        <f>COUNTIF(P315:P333,"A")</f>
        <v>0</v>
      </c>
      <c r="Q307" s="5">
        <f>COUNTIF(Q315:Q333,"A")</f>
        <v>1</v>
      </c>
      <c r="R307" s="10">
        <f>COUNTIF(R315:R333,"A")</f>
        <v>0</v>
      </c>
      <c r="S307" s="26" t="s">
        <v>74</v>
      </c>
    </row>
    <row r="308" spans="1:20" ht="15" customHeight="1" x14ac:dyDescent="0.25">
      <c r="A308" s="25" t="s">
        <v>52</v>
      </c>
      <c r="B308" s="3" t="s">
        <v>11</v>
      </c>
      <c r="C308" s="28">
        <f>C307/C310</f>
        <v>0</v>
      </c>
      <c r="D308" s="29">
        <f t="shared" ref="D308:H308" si="180">D307/D310</f>
        <v>0</v>
      </c>
      <c r="E308" s="29">
        <f t="shared" si="180"/>
        <v>0.33333333333333331</v>
      </c>
      <c r="F308" s="29">
        <f t="shared" si="180"/>
        <v>0.8125</v>
      </c>
      <c r="G308" s="29">
        <f t="shared" si="180"/>
        <v>0</v>
      </c>
      <c r="H308" s="29" t="e">
        <f t="shared" si="180"/>
        <v>#DIV/0!</v>
      </c>
      <c r="I308" s="29">
        <f>I307/I310</f>
        <v>0</v>
      </c>
      <c r="J308" s="29">
        <f t="shared" ref="J308:N308" si="181">J307/J310</f>
        <v>0</v>
      </c>
      <c r="K308" s="29">
        <f t="shared" si="181"/>
        <v>0.33333333333333331</v>
      </c>
      <c r="L308" s="29">
        <f t="shared" si="181"/>
        <v>0</v>
      </c>
      <c r="M308" s="29">
        <f t="shared" si="181"/>
        <v>0.33333333333333331</v>
      </c>
      <c r="N308" s="29" t="e">
        <f t="shared" si="181"/>
        <v>#DIV/0!</v>
      </c>
      <c r="O308" s="29">
        <f>O307/O310</f>
        <v>0</v>
      </c>
      <c r="P308" s="29">
        <f t="shared" ref="P308:R308" si="182">P307/P310</f>
        <v>0</v>
      </c>
      <c r="Q308" s="29">
        <f t="shared" si="182"/>
        <v>0.33333333333333331</v>
      </c>
      <c r="R308" s="30" t="e">
        <f t="shared" si="182"/>
        <v>#DIV/0!</v>
      </c>
      <c r="S308" s="2" t="s">
        <v>6</v>
      </c>
      <c r="T308" s="1" t="s">
        <v>75</v>
      </c>
    </row>
    <row r="309" spans="1:20" ht="15" customHeight="1" x14ac:dyDescent="0.25">
      <c r="A309" s="9">
        <f>COUNTA(A315:A333)/C312</f>
        <v>0.1875</v>
      </c>
      <c r="B309" s="3" t="s">
        <v>12</v>
      </c>
      <c r="C309" s="28">
        <f>C307/$C312</f>
        <v>0</v>
      </c>
      <c r="D309" s="29">
        <f>D307/$C312</f>
        <v>0</v>
      </c>
      <c r="E309" s="29">
        <f t="shared" ref="E309:R309" si="183">E307/$C312</f>
        <v>6.25E-2</v>
      </c>
      <c r="F309" s="29">
        <f t="shared" si="183"/>
        <v>0.8125</v>
      </c>
      <c r="G309" s="29">
        <f t="shared" si="183"/>
        <v>0</v>
      </c>
      <c r="H309" s="29">
        <f t="shared" si="183"/>
        <v>0</v>
      </c>
      <c r="I309" s="29">
        <f t="shared" si="183"/>
        <v>0</v>
      </c>
      <c r="J309" s="29">
        <f t="shared" si="183"/>
        <v>0</v>
      </c>
      <c r="K309" s="29">
        <f t="shared" si="183"/>
        <v>6.25E-2</v>
      </c>
      <c r="L309" s="29">
        <f t="shared" si="183"/>
        <v>0</v>
      </c>
      <c r="M309" s="29">
        <f t="shared" si="183"/>
        <v>6.25E-2</v>
      </c>
      <c r="N309" s="29">
        <f t="shared" si="183"/>
        <v>0</v>
      </c>
      <c r="O309" s="29">
        <f t="shared" si="183"/>
        <v>0</v>
      </c>
      <c r="P309" s="29">
        <f t="shared" si="183"/>
        <v>0</v>
      </c>
      <c r="Q309" s="29">
        <f t="shared" si="183"/>
        <v>6.25E-2</v>
      </c>
      <c r="R309" s="30">
        <f t="shared" si="183"/>
        <v>0</v>
      </c>
      <c r="S309" s="2" t="s">
        <v>76</v>
      </c>
      <c r="T309" s="1" t="s">
        <v>77</v>
      </c>
    </row>
    <row r="310" spans="1:20" ht="15" customHeight="1" x14ac:dyDescent="0.25">
      <c r="A310" s="24" t="s">
        <v>71</v>
      </c>
      <c r="B310" s="3" t="s">
        <v>8</v>
      </c>
      <c r="C310" s="6">
        <f>COUNTA(C315:C333)</f>
        <v>3</v>
      </c>
      <c r="D310" s="2">
        <f>COUNTA(D315:D333)</f>
        <v>3</v>
      </c>
      <c r="E310" s="2">
        <f>COUNTA(E315:E333)</f>
        <v>3</v>
      </c>
      <c r="F310" s="2">
        <f>COUNTA(F315:F333)</f>
        <v>16</v>
      </c>
      <c r="G310" s="2">
        <f>COUNTA(G315:G333)</f>
        <v>3</v>
      </c>
      <c r="H310" s="2">
        <f>COUNTA(H315:H333)</f>
        <v>0</v>
      </c>
      <c r="I310" s="2">
        <f>COUNTA(I315:I333)</f>
        <v>3</v>
      </c>
      <c r="J310" s="2">
        <f>COUNTA(J315:J333)</f>
        <v>3</v>
      </c>
      <c r="K310" s="2">
        <f>COUNTA(K315:K333)</f>
        <v>3</v>
      </c>
      <c r="L310" s="2">
        <f>COUNTA(L315:L333)</f>
        <v>3</v>
      </c>
      <c r="M310" s="2">
        <f>COUNTA(M315:M333)</f>
        <v>3</v>
      </c>
      <c r="N310" s="2">
        <f>COUNTA(N315:N333)</f>
        <v>0</v>
      </c>
      <c r="O310" s="2">
        <f>COUNTA(O315:O333)</f>
        <v>3</v>
      </c>
      <c r="P310" s="2">
        <f>COUNTA(P315:P333)</f>
        <v>3</v>
      </c>
      <c r="Q310" s="2">
        <f>COUNTA(Q315:Q333)</f>
        <v>3</v>
      </c>
      <c r="R310" s="11">
        <f>COUNTA(R315:R333)</f>
        <v>0</v>
      </c>
      <c r="S310" s="2">
        <v>0</v>
      </c>
      <c r="T310" s="1" t="s">
        <v>78</v>
      </c>
    </row>
    <row r="311" spans="1:20" ht="15" customHeight="1" x14ac:dyDescent="0.25">
      <c r="A311" s="33" t="s">
        <v>265</v>
      </c>
      <c r="B311" s="3" t="s">
        <v>9</v>
      </c>
      <c r="C311" s="28">
        <f>C310/$C312</f>
        <v>0.1875</v>
      </c>
      <c r="D311" s="29">
        <f t="shared" ref="D311" si="184">D310/$C312</f>
        <v>0.1875</v>
      </c>
      <c r="E311" s="29">
        <f t="shared" ref="E311" si="185">E310/$C312</f>
        <v>0.1875</v>
      </c>
      <c r="F311" s="29">
        <f t="shared" ref="F311" si="186">F310/$C312</f>
        <v>1</v>
      </c>
      <c r="G311" s="29">
        <f t="shared" ref="G311" si="187">G310/$C312</f>
        <v>0.1875</v>
      </c>
      <c r="H311" s="29">
        <f t="shared" ref="H311" si="188">H310/$C312</f>
        <v>0</v>
      </c>
      <c r="I311" s="29">
        <f t="shared" ref="I311" si="189">I310/$C312</f>
        <v>0.1875</v>
      </c>
      <c r="J311" s="29">
        <f t="shared" ref="J311" si="190">J310/$C312</f>
        <v>0.1875</v>
      </c>
      <c r="K311" s="29">
        <f t="shared" ref="K311" si="191">K310/$C312</f>
        <v>0.1875</v>
      </c>
      <c r="L311" s="29">
        <f t="shared" ref="L311" si="192">L310/$C312</f>
        <v>0.1875</v>
      </c>
      <c r="M311" s="29">
        <f t="shared" ref="M311" si="193">M310/$C312</f>
        <v>0.1875</v>
      </c>
      <c r="N311" s="29">
        <f t="shared" ref="N311" si="194">N310/$C312</f>
        <v>0</v>
      </c>
      <c r="O311" s="29">
        <f t="shared" ref="O311" si="195">O310/$C312</f>
        <v>0.1875</v>
      </c>
      <c r="P311" s="29">
        <f t="shared" ref="P311" si="196">P310/$C312</f>
        <v>0.1875</v>
      </c>
      <c r="Q311" s="29">
        <f t="shared" ref="Q311" si="197">Q310/$C312</f>
        <v>0.1875</v>
      </c>
      <c r="R311" s="30">
        <f t="shared" ref="R311" si="198">R310/$C312</f>
        <v>0</v>
      </c>
      <c r="S311" s="2" t="s">
        <v>81</v>
      </c>
      <c r="T311" s="1" t="s">
        <v>82</v>
      </c>
    </row>
    <row r="312" spans="1:20" ht="15" customHeight="1" thickBot="1" x14ac:dyDescent="0.3">
      <c r="A312" s="24" t="s">
        <v>72</v>
      </c>
      <c r="B312" s="3" t="s">
        <v>7</v>
      </c>
      <c r="C312" s="7">
        <f>COUNTA($B315:$B333)</f>
        <v>16</v>
      </c>
      <c r="D312" s="8"/>
      <c r="E312" s="8"/>
      <c r="F312" s="8"/>
      <c r="G312" s="8"/>
      <c r="H312" s="31"/>
      <c r="I312" s="8"/>
      <c r="J312" s="8"/>
      <c r="K312" s="8"/>
      <c r="L312" s="8"/>
      <c r="M312" s="8"/>
      <c r="N312" s="31"/>
      <c r="O312" s="8"/>
      <c r="P312" s="8"/>
      <c r="Q312" s="8"/>
      <c r="R312" s="18"/>
      <c r="S312" s="2" t="s">
        <v>134</v>
      </c>
      <c r="T312" s="1" t="s">
        <v>135</v>
      </c>
    </row>
    <row r="313" spans="1:20" ht="15" customHeight="1" thickBot="1" x14ac:dyDescent="0.3">
      <c r="A313" s="33" t="s">
        <v>267</v>
      </c>
      <c r="C313" s="35" t="s">
        <v>15</v>
      </c>
      <c r="D313" s="36"/>
      <c r="E313" s="36"/>
      <c r="F313" s="36"/>
      <c r="G313" s="36"/>
      <c r="H313" s="36"/>
      <c r="I313" s="36" t="s">
        <v>13</v>
      </c>
      <c r="J313" s="36"/>
      <c r="K313" s="36"/>
      <c r="L313" s="36"/>
      <c r="M313" s="36"/>
      <c r="N313" s="36"/>
      <c r="O313" s="36" t="s">
        <v>14</v>
      </c>
      <c r="P313" s="36"/>
      <c r="Q313" s="36"/>
      <c r="R313" s="37"/>
    </row>
    <row r="314" spans="1:20" ht="28" customHeight="1" thickBot="1" x14ac:dyDescent="0.3">
      <c r="A314" s="19" t="s">
        <v>1</v>
      </c>
      <c r="B314" s="20" t="s">
        <v>0</v>
      </c>
      <c r="C314" s="12" t="s">
        <v>2</v>
      </c>
      <c r="D314" s="13" t="s">
        <v>3</v>
      </c>
      <c r="E314" s="13" t="s">
        <v>4</v>
      </c>
      <c r="F314" s="21" t="s">
        <v>84</v>
      </c>
      <c r="G314" s="21" t="s">
        <v>34</v>
      </c>
      <c r="H314" s="13" t="s">
        <v>5</v>
      </c>
      <c r="I314" s="13" t="s">
        <v>2</v>
      </c>
      <c r="J314" s="13" t="s">
        <v>3</v>
      </c>
      <c r="K314" s="13" t="s">
        <v>4</v>
      </c>
      <c r="L314" s="21" t="s">
        <v>83</v>
      </c>
      <c r="M314" s="21" t="s">
        <v>34</v>
      </c>
      <c r="N314" s="13" t="s">
        <v>5</v>
      </c>
      <c r="O314" s="13" t="s">
        <v>2</v>
      </c>
      <c r="P314" s="13" t="s">
        <v>3</v>
      </c>
      <c r="Q314" s="13" t="s">
        <v>4</v>
      </c>
      <c r="R314" s="14" t="s">
        <v>5</v>
      </c>
    </row>
    <row r="315" spans="1:20" ht="15" customHeight="1" x14ac:dyDescent="0.25">
      <c r="A315" s="38" t="s">
        <v>431</v>
      </c>
      <c r="B315" s="16" t="s">
        <v>268</v>
      </c>
      <c r="C315" s="6">
        <v>0</v>
      </c>
      <c r="D315" s="2">
        <v>0</v>
      </c>
      <c r="E315" s="2" t="s">
        <v>6</v>
      </c>
      <c r="F315" s="2">
        <v>0</v>
      </c>
      <c r="G315" s="2">
        <v>0</v>
      </c>
      <c r="H315" s="22"/>
      <c r="I315" s="6">
        <v>0</v>
      </c>
      <c r="J315" s="2">
        <v>0</v>
      </c>
      <c r="K315" s="2" t="s">
        <v>6</v>
      </c>
      <c r="L315" s="2" t="s">
        <v>81</v>
      </c>
      <c r="M315" s="2">
        <v>0</v>
      </c>
      <c r="N315" s="22"/>
      <c r="O315" s="6">
        <v>0</v>
      </c>
      <c r="P315" s="2">
        <v>0</v>
      </c>
      <c r="Q315" s="2" t="s">
        <v>6</v>
      </c>
      <c r="R315" s="22"/>
    </row>
    <row r="316" spans="1:20" ht="15" customHeight="1" x14ac:dyDescent="0.25">
      <c r="A316" s="15"/>
      <c r="B316" s="16" t="s">
        <v>269</v>
      </c>
      <c r="C316" s="6"/>
      <c r="F316" s="2" t="s">
        <v>6</v>
      </c>
      <c r="H316" s="22"/>
      <c r="I316" s="6"/>
      <c r="N316" s="22"/>
      <c r="O316" s="6"/>
      <c r="R316" s="22"/>
    </row>
    <row r="317" spans="1:20" ht="15" customHeight="1" x14ac:dyDescent="0.25">
      <c r="A317" s="15"/>
      <c r="B317" s="16" t="s">
        <v>270</v>
      </c>
      <c r="C317" s="6"/>
      <c r="F317" s="2" t="s">
        <v>6</v>
      </c>
      <c r="H317" s="22"/>
      <c r="I317" s="6"/>
      <c r="N317" s="22"/>
      <c r="O317" s="6"/>
      <c r="R317" s="22"/>
    </row>
    <row r="318" spans="1:20" ht="15" customHeight="1" x14ac:dyDescent="0.25">
      <c r="A318" s="38" t="s">
        <v>431</v>
      </c>
      <c r="B318" s="16" t="s">
        <v>271</v>
      </c>
      <c r="C318" s="6">
        <v>0</v>
      </c>
      <c r="D318" s="2">
        <v>0</v>
      </c>
      <c r="E318" s="2">
        <v>0</v>
      </c>
      <c r="F318" s="2" t="s">
        <v>104</v>
      </c>
      <c r="G318" s="2">
        <v>0</v>
      </c>
      <c r="H318" s="22"/>
      <c r="I318" s="6">
        <v>0</v>
      </c>
      <c r="J318" s="2">
        <v>0</v>
      </c>
      <c r="K318" s="2">
        <v>0</v>
      </c>
      <c r="L318" s="2" t="s">
        <v>104</v>
      </c>
      <c r="M318" s="2">
        <v>0</v>
      </c>
      <c r="N318" s="22"/>
      <c r="O318" s="6">
        <v>0</v>
      </c>
      <c r="P318" s="2">
        <v>0</v>
      </c>
      <c r="Q318" s="2">
        <v>0</v>
      </c>
      <c r="R318" s="22"/>
    </row>
    <row r="319" spans="1:20" ht="15" customHeight="1" x14ac:dyDescent="0.25">
      <c r="A319" s="15"/>
      <c r="B319" s="16" t="s">
        <v>272</v>
      </c>
      <c r="C319" s="6"/>
      <c r="F319" s="2" t="s">
        <v>6</v>
      </c>
      <c r="H319" s="22"/>
      <c r="I319" s="6"/>
      <c r="N319" s="22"/>
      <c r="O319" s="6"/>
      <c r="R319" s="22"/>
    </row>
    <row r="320" spans="1:20" ht="15" customHeight="1" x14ac:dyDescent="0.25">
      <c r="A320" s="15"/>
      <c r="B320" s="16" t="s">
        <v>273</v>
      </c>
      <c r="C320" s="6"/>
      <c r="F320" s="2" t="s">
        <v>6</v>
      </c>
      <c r="H320" s="22"/>
      <c r="I320" s="6"/>
      <c r="N320" s="22"/>
      <c r="O320" s="6"/>
      <c r="R320" s="22"/>
    </row>
    <row r="321" spans="1:20" ht="15" customHeight="1" x14ac:dyDescent="0.25">
      <c r="A321" s="15"/>
      <c r="B321" s="16" t="s">
        <v>274</v>
      </c>
      <c r="C321" s="6"/>
      <c r="F321" s="2" t="s">
        <v>6</v>
      </c>
      <c r="H321" s="22"/>
      <c r="I321" s="6"/>
      <c r="N321" s="22"/>
      <c r="O321" s="6"/>
      <c r="R321" s="22"/>
    </row>
    <row r="322" spans="1:20" ht="15" customHeight="1" x14ac:dyDescent="0.25">
      <c r="A322" s="15"/>
      <c r="B322" s="16" t="s">
        <v>275</v>
      </c>
      <c r="C322" s="6"/>
      <c r="F322" s="2" t="s">
        <v>6</v>
      </c>
      <c r="H322" s="22"/>
      <c r="I322" s="6"/>
      <c r="N322" s="22"/>
      <c r="O322" s="6"/>
      <c r="R322" s="22"/>
    </row>
    <row r="323" spans="1:20" ht="15" customHeight="1" x14ac:dyDescent="0.25">
      <c r="A323" s="15"/>
      <c r="B323" s="16" t="s">
        <v>276</v>
      </c>
      <c r="C323" s="6"/>
      <c r="F323" s="2" t="s">
        <v>6</v>
      </c>
      <c r="H323" s="22"/>
      <c r="I323" s="6"/>
      <c r="N323" s="22"/>
      <c r="O323" s="6"/>
      <c r="R323" s="22"/>
    </row>
    <row r="324" spans="1:20" ht="15" customHeight="1" x14ac:dyDescent="0.25">
      <c r="A324" s="15"/>
      <c r="B324" s="16" t="s">
        <v>277</v>
      </c>
      <c r="C324" s="6"/>
      <c r="F324" s="2" t="s">
        <v>6</v>
      </c>
      <c r="H324" s="22"/>
      <c r="I324" s="6"/>
      <c r="N324" s="22"/>
      <c r="O324" s="6"/>
      <c r="R324" s="22"/>
    </row>
    <row r="325" spans="1:20" ht="15" customHeight="1" x14ac:dyDescent="0.25">
      <c r="A325" s="38" t="s">
        <v>431</v>
      </c>
      <c r="B325" s="16" t="s">
        <v>278</v>
      </c>
      <c r="C325" s="6">
        <v>0</v>
      </c>
      <c r="D325" s="2">
        <v>0</v>
      </c>
      <c r="E325" s="2">
        <v>0</v>
      </c>
      <c r="F325" s="2" t="s">
        <v>104</v>
      </c>
      <c r="G325" s="2">
        <v>0</v>
      </c>
      <c r="H325" s="22"/>
      <c r="I325" s="6">
        <v>0</v>
      </c>
      <c r="J325" s="2">
        <v>0</v>
      </c>
      <c r="K325" s="2">
        <v>0</v>
      </c>
      <c r="L325" s="2" t="s">
        <v>81</v>
      </c>
      <c r="M325" s="2" t="s">
        <v>6</v>
      </c>
      <c r="N325" s="22"/>
      <c r="O325" s="6">
        <v>0</v>
      </c>
      <c r="P325" s="2">
        <v>0</v>
      </c>
      <c r="Q325" s="2">
        <v>0</v>
      </c>
      <c r="R325" s="22"/>
      <c r="S325" s="27"/>
    </row>
    <row r="326" spans="1:20" ht="15" customHeight="1" x14ac:dyDescent="0.25">
      <c r="A326" s="15"/>
      <c r="B326" s="16" t="s">
        <v>279</v>
      </c>
      <c r="C326" s="6"/>
      <c r="F326" s="2" t="s">
        <v>6</v>
      </c>
      <c r="H326" s="22"/>
      <c r="I326" s="6"/>
      <c r="N326" s="22"/>
      <c r="O326" s="6"/>
      <c r="R326" s="22"/>
    </row>
    <row r="327" spans="1:20" ht="15" customHeight="1" x14ac:dyDescent="0.25">
      <c r="A327" s="15"/>
      <c r="B327" s="16" t="s">
        <v>280</v>
      </c>
      <c r="C327" s="6"/>
      <c r="F327" s="2" t="s">
        <v>6</v>
      </c>
      <c r="H327" s="22"/>
      <c r="I327" s="6"/>
      <c r="N327" s="22"/>
      <c r="O327" s="6"/>
      <c r="R327" s="22"/>
    </row>
    <row r="328" spans="1:20" ht="15" customHeight="1" x14ac:dyDescent="0.25">
      <c r="A328" s="15"/>
      <c r="B328" s="16" t="s">
        <v>281</v>
      </c>
      <c r="C328" s="6"/>
      <c r="F328" s="2" t="s">
        <v>6</v>
      </c>
      <c r="H328" s="22"/>
      <c r="I328" s="6"/>
      <c r="N328" s="22"/>
      <c r="O328" s="6"/>
      <c r="R328" s="22"/>
    </row>
    <row r="329" spans="1:20" ht="15" customHeight="1" x14ac:dyDescent="0.25">
      <c r="A329" s="15"/>
      <c r="B329" s="16" t="s">
        <v>282</v>
      </c>
      <c r="C329" s="6"/>
      <c r="F329" s="2" t="s">
        <v>6</v>
      </c>
      <c r="H329" s="22"/>
      <c r="I329" s="6"/>
      <c r="N329" s="22"/>
      <c r="O329" s="6"/>
      <c r="R329" s="22"/>
    </row>
    <row r="330" spans="1:20" ht="15" customHeight="1" x14ac:dyDescent="0.25">
      <c r="A330" s="15"/>
      <c r="B330" s="16" t="s">
        <v>283</v>
      </c>
      <c r="C330" s="6"/>
      <c r="F330" s="2" t="s">
        <v>6</v>
      </c>
      <c r="H330" s="22"/>
      <c r="I330" s="6"/>
      <c r="N330" s="22"/>
      <c r="O330" s="6"/>
      <c r="R330" s="22"/>
    </row>
    <row r="331" spans="1:20" ht="15" customHeight="1" x14ac:dyDescent="0.25">
      <c r="A331" s="15"/>
      <c r="B331" s="16"/>
      <c r="C331" s="6"/>
      <c r="H331" s="22"/>
      <c r="I331" s="6"/>
      <c r="N331" s="22"/>
      <c r="O331" s="6"/>
      <c r="R331" s="22"/>
    </row>
    <row r="332" spans="1:20" ht="15" customHeight="1" x14ac:dyDescent="0.25">
      <c r="A332" s="15"/>
      <c r="B332" s="16"/>
      <c r="C332" s="6"/>
      <c r="H332" s="22"/>
      <c r="I332" s="6"/>
      <c r="N332" s="22"/>
      <c r="O332" s="6"/>
      <c r="R332" s="22"/>
    </row>
    <row r="333" spans="1:20" ht="15" customHeight="1" thickBot="1" x14ac:dyDescent="0.3">
      <c r="A333" s="17"/>
      <c r="B333" s="18"/>
      <c r="C333" s="7"/>
      <c r="D333" s="8"/>
      <c r="E333" s="8"/>
      <c r="F333" s="8"/>
      <c r="G333" s="8"/>
      <c r="H333" s="23"/>
      <c r="I333" s="7"/>
      <c r="J333" s="8"/>
      <c r="K333" s="8"/>
      <c r="L333" s="8"/>
      <c r="M333" s="8"/>
      <c r="N333" s="23"/>
      <c r="O333" s="7"/>
      <c r="P333" s="8"/>
      <c r="Q333" s="8"/>
      <c r="R333" s="23"/>
    </row>
    <row r="334" spans="1:20" ht="15" customHeight="1" thickBot="1" x14ac:dyDescent="0.3"/>
    <row r="335" spans="1:20" ht="15" customHeight="1" x14ac:dyDescent="0.25">
      <c r="A335" s="2"/>
      <c r="B335" s="3" t="s">
        <v>10</v>
      </c>
      <c r="C335" s="4">
        <f>COUNTIF(C343:C367,"A")</f>
        <v>1</v>
      </c>
      <c r="D335" s="5">
        <f t="shared" ref="D335:H335" si="199">COUNTIF(D343:D367,"A")</f>
        <v>0</v>
      </c>
      <c r="E335" s="5">
        <f t="shared" si="199"/>
        <v>0</v>
      </c>
      <c r="F335" s="5">
        <f t="shared" si="199"/>
        <v>21</v>
      </c>
      <c r="G335" s="5">
        <f t="shared" si="199"/>
        <v>0</v>
      </c>
      <c r="H335" s="5">
        <f t="shared" si="199"/>
        <v>0</v>
      </c>
      <c r="I335" s="5">
        <f>COUNTIF(I343:I367,"A")</f>
        <v>1</v>
      </c>
      <c r="J335" s="5">
        <f t="shared" ref="J335:N335" si="200">COUNTIF(J343:J367,"A")</f>
        <v>0</v>
      </c>
      <c r="K335" s="5">
        <f t="shared" si="200"/>
        <v>0</v>
      </c>
      <c r="L335" s="5">
        <f t="shared" si="200"/>
        <v>0</v>
      </c>
      <c r="M335" s="5">
        <f t="shared" si="200"/>
        <v>0</v>
      </c>
      <c r="N335" s="5">
        <f t="shared" si="200"/>
        <v>0</v>
      </c>
      <c r="O335" s="5">
        <f>COUNTIF(O343:O367,"A")</f>
        <v>1</v>
      </c>
      <c r="P335" s="5">
        <f t="shared" ref="P335:R335" si="201">COUNTIF(P343:P367,"A")</f>
        <v>0</v>
      </c>
      <c r="Q335" s="5">
        <f t="shared" si="201"/>
        <v>0</v>
      </c>
      <c r="R335" s="10">
        <f t="shared" si="201"/>
        <v>0</v>
      </c>
      <c r="S335" s="26" t="s">
        <v>74</v>
      </c>
    </row>
    <row r="336" spans="1:20" ht="15" customHeight="1" x14ac:dyDescent="0.25">
      <c r="A336" s="25" t="s">
        <v>52</v>
      </c>
      <c r="B336" s="3" t="s">
        <v>11</v>
      </c>
      <c r="C336" s="28">
        <f>C335/C338</f>
        <v>0.2</v>
      </c>
      <c r="D336" s="29">
        <f t="shared" ref="D336:H336" si="202">D335/D338</f>
        <v>0</v>
      </c>
      <c r="E336" s="29">
        <f t="shared" si="202"/>
        <v>0</v>
      </c>
      <c r="F336" s="29">
        <f t="shared" si="202"/>
        <v>0.875</v>
      </c>
      <c r="G336" s="29">
        <f t="shared" si="202"/>
        <v>0</v>
      </c>
      <c r="H336" s="29" t="e">
        <f t="shared" si="202"/>
        <v>#DIV/0!</v>
      </c>
      <c r="I336" s="29">
        <f>I335/I338</f>
        <v>0.2</v>
      </c>
      <c r="J336" s="29">
        <f t="shared" ref="J336:N336" si="203">J335/J338</f>
        <v>0</v>
      </c>
      <c r="K336" s="29">
        <f t="shared" si="203"/>
        <v>0</v>
      </c>
      <c r="L336" s="29">
        <f t="shared" si="203"/>
        <v>0</v>
      </c>
      <c r="M336" s="29">
        <f t="shared" si="203"/>
        <v>0</v>
      </c>
      <c r="N336" s="29" t="e">
        <f t="shared" si="203"/>
        <v>#DIV/0!</v>
      </c>
      <c r="O336" s="29">
        <f>O335/O338</f>
        <v>0.2</v>
      </c>
      <c r="P336" s="29">
        <f t="shared" ref="P336:R336" si="204">P335/P338</f>
        <v>0</v>
      </c>
      <c r="Q336" s="29">
        <f t="shared" si="204"/>
        <v>0</v>
      </c>
      <c r="R336" s="30" t="e">
        <f t="shared" si="204"/>
        <v>#DIV/0!</v>
      </c>
      <c r="S336" s="2" t="s">
        <v>6</v>
      </c>
      <c r="T336" s="1" t="s">
        <v>75</v>
      </c>
    </row>
    <row r="337" spans="1:20" ht="15" customHeight="1" x14ac:dyDescent="0.25">
      <c r="A337" s="9">
        <f>COUNTA(A343:A367)/C340</f>
        <v>0.20833333333333334</v>
      </c>
      <c r="B337" s="3" t="s">
        <v>12</v>
      </c>
      <c r="C337" s="28">
        <f>C335/$C340</f>
        <v>4.1666666666666664E-2</v>
      </c>
      <c r="D337" s="29">
        <f>D335/$C340</f>
        <v>0</v>
      </c>
      <c r="E337" s="29">
        <f t="shared" ref="E337:R337" si="205">E335/$C340</f>
        <v>0</v>
      </c>
      <c r="F337" s="29">
        <f t="shared" si="205"/>
        <v>0.875</v>
      </c>
      <c r="G337" s="29">
        <f t="shared" si="205"/>
        <v>0</v>
      </c>
      <c r="H337" s="29">
        <f t="shared" si="205"/>
        <v>0</v>
      </c>
      <c r="I337" s="29">
        <f t="shared" si="205"/>
        <v>4.1666666666666664E-2</v>
      </c>
      <c r="J337" s="29">
        <f t="shared" si="205"/>
        <v>0</v>
      </c>
      <c r="K337" s="29">
        <f t="shared" si="205"/>
        <v>0</v>
      </c>
      <c r="L337" s="29">
        <f t="shared" si="205"/>
        <v>0</v>
      </c>
      <c r="M337" s="29">
        <f t="shared" si="205"/>
        <v>0</v>
      </c>
      <c r="N337" s="29">
        <f t="shared" si="205"/>
        <v>0</v>
      </c>
      <c r="O337" s="29">
        <f t="shared" si="205"/>
        <v>4.1666666666666664E-2</v>
      </c>
      <c r="P337" s="29">
        <f t="shared" si="205"/>
        <v>0</v>
      </c>
      <c r="Q337" s="29">
        <f t="shared" si="205"/>
        <v>0</v>
      </c>
      <c r="R337" s="30">
        <f t="shared" si="205"/>
        <v>0</v>
      </c>
      <c r="S337" s="2" t="s">
        <v>76</v>
      </c>
      <c r="T337" s="1" t="s">
        <v>77</v>
      </c>
    </row>
    <row r="338" spans="1:20" ht="15" customHeight="1" x14ac:dyDescent="0.25">
      <c r="A338" s="24" t="s">
        <v>71</v>
      </c>
      <c r="B338" s="3" t="s">
        <v>8</v>
      </c>
      <c r="C338" s="6">
        <f>COUNTA(C343:C367)</f>
        <v>5</v>
      </c>
      <c r="D338" s="2">
        <f t="shared" ref="D338:H338" si="206">COUNTA(D343:D367)</f>
        <v>5</v>
      </c>
      <c r="E338" s="2">
        <f t="shared" si="206"/>
        <v>4</v>
      </c>
      <c r="F338" s="2">
        <f t="shared" si="206"/>
        <v>24</v>
      </c>
      <c r="G338" s="2">
        <f t="shared" si="206"/>
        <v>5</v>
      </c>
      <c r="H338" s="2">
        <f t="shared" si="206"/>
        <v>0</v>
      </c>
      <c r="I338" s="2">
        <f>COUNTA(I343:I367)</f>
        <v>5</v>
      </c>
      <c r="J338" s="2">
        <f t="shared" ref="J338:N338" si="207">COUNTA(J343:J367)</f>
        <v>5</v>
      </c>
      <c r="K338" s="2">
        <f t="shared" si="207"/>
        <v>4</v>
      </c>
      <c r="L338" s="2">
        <f t="shared" si="207"/>
        <v>5</v>
      </c>
      <c r="M338" s="2">
        <f t="shared" si="207"/>
        <v>5</v>
      </c>
      <c r="N338" s="2">
        <f t="shared" si="207"/>
        <v>0</v>
      </c>
      <c r="O338" s="2">
        <f>COUNTA(O343:O367)</f>
        <v>5</v>
      </c>
      <c r="P338" s="2">
        <f t="shared" ref="P338:R338" si="208">COUNTA(P343:P367)</f>
        <v>5</v>
      </c>
      <c r="Q338" s="2">
        <f t="shared" si="208"/>
        <v>4</v>
      </c>
      <c r="R338" s="11">
        <f t="shared" si="208"/>
        <v>0</v>
      </c>
      <c r="S338" s="2">
        <v>0</v>
      </c>
      <c r="T338" s="1" t="s">
        <v>78</v>
      </c>
    </row>
    <row r="339" spans="1:20" ht="15" customHeight="1" x14ac:dyDescent="0.25">
      <c r="A339" s="33" t="s">
        <v>266</v>
      </c>
      <c r="B339" s="3" t="s">
        <v>9</v>
      </c>
      <c r="C339" s="28">
        <f>C338/$C340</f>
        <v>0.20833333333333334</v>
      </c>
      <c r="D339" s="29">
        <f t="shared" ref="D339" si="209">D338/$C340</f>
        <v>0.20833333333333334</v>
      </c>
      <c r="E339" s="29">
        <f t="shared" ref="E339" si="210">E338/$C340</f>
        <v>0.16666666666666666</v>
      </c>
      <c r="F339" s="29">
        <f t="shared" ref="F339" si="211">F338/$C340</f>
        <v>1</v>
      </c>
      <c r="G339" s="29">
        <f t="shared" ref="G339" si="212">G338/$C340</f>
        <v>0.20833333333333334</v>
      </c>
      <c r="H339" s="29">
        <f t="shared" ref="H339" si="213">H338/$C340</f>
        <v>0</v>
      </c>
      <c r="I339" s="29">
        <f t="shared" ref="I339" si="214">I338/$C340</f>
        <v>0.20833333333333334</v>
      </c>
      <c r="J339" s="29">
        <f t="shared" ref="J339" si="215">J338/$C340</f>
        <v>0.20833333333333334</v>
      </c>
      <c r="K339" s="29">
        <f t="shared" ref="K339" si="216">K338/$C340</f>
        <v>0.16666666666666666</v>
      </c>
      <c r="L339" s="29">
        <f t="shared" ref="L339" si="217">L338/$C340</f>
        <v>0.20833333333333334</v>
      </c>
      <c r="M339" s="29">
        <f t="shared" ref="M339" si="218">M338/$C340</f>
        <v>0.20833333333333334</v>
      </c>
      <c r="N339" s="29">
        <f t="shared" ref="N339" si="219">N338/$C340</f>
        <v>0</v>
      </c>
      <c r="O339" s="29">
        <f t="shared" ref="O339" si="220">O338/$C340</f>
        <v>0.20833333333333334</v>
      </c>
      <c r="P339" s="29">
        <f t="shared" ref="P339" si="221">P338/$C340</f>
        <v>0.20833333333333334</v>
      </c>
      <c r="Q339" s="29">
        <f t="shared" ref="Q339" si="222">Q338/$C340</f>
        <v>0.16666666666666666</v>
      </c>
      <c r="R339" s="30">
        <f t="shared" ref="R339" si="223">R338/$C340</f>
        <v>0</v>
      </c>
      <c r="S339" s="2" t="s">
        <v>81</v>
      </c>
      <c r="T339" s="1" t="s">
        <v>82</v>
      </c>
    </row>
    <row r="340" spans="1:20" ht="15" customHeight="1" thickBot="1" x14ac:dyDescent="0.3">
      <c r="A340" s="24" t="s">
        <v>72</v>
      </c>
      <c r="B340" s="3" t="s">
        <v>7</v>
      </c>
      <c r="C340" s="7">
        <f>COUNTA($B343:$B367)</f>
        <v>24</v>
      </c>
      <c r="D340" s="8"/>
      <c r="E340" s="8"/>
      <c r="F340" s="8"/>
      <c r="G340" s="8"/>
      <c r="H340" s="31"/>
      <c r="I340" s="8"/>
      <c r="J340" s="8"/>
      <c r="K340" s="8"/>
      <c r="L340" s="8"/>
      <c r="M340" s="8"/>
      <c r="N340" s="31"/>
      <c r="O340" s="8"/>
      <c r="P340" s="8"/>
      <c r="Q340" s="8"/>
      <c r="R340" s="18"/>
      <c r="S340" s="2" t="s">
        <v>134</v>
      </c>
      <c r="T340" s="1" t="s">
        <v>135</v>
      </c>
    </row>
    <row r="341" spans="1:20" ht="15" customHeight="1" thickBot="1" x14ac:dyDescent="0.3">
      <c r="A341" s="33" t="s">
        <v>284</v>
      </c>
      <c r="C341" s="35" t="s">
        <v>15</v>
      </c>
      <c r="D341" s="36"/>
      <c r="E341" s="36"/>
      <c r="F341" s="36"/>
      <c r="G341" s="36"/>
      <c r="H341" s="36"/>
      <c r="I341" s="36" t="s">
        <v>13</v>
      </c>
      <c r="J341" s="36"/>
      <c r="K341" s="36"/>
      <c r="L341" s="36"/>
      <c r="M341" s="36"/>
      <c r="N341" s="36"/>
      <c r="O341" s="36" t="s">
        <v>14</v>
      </c>
      <c r="P341" s="36"/>
      <c r="Q341" s="36"/>
      <c r="R341" s="37"/>
    </row>
    <row r="342" spans="1:20" ht="28" customHeight="1" thickBot="1" x14ac:dyDescent="0.3">
      <c r="A342" s="19" t="s">
        <v>1</v>
      </c>
      <c r="B342" s="20" t="s">
        <v>0</v>
      </c>
      <c r="C342" s="12" t="s">
        <v>2</v>
      </c>
      <c r="D342" s="13" t="s">
        <v>3</v>
      </c>
      <c r="E342" s="13" t="s">
        <v>4</v>
      </c>
      <c r="F342" s="21" t="s">
        <v>84</v>
      </c>
      <c r="G342" s="21" t="s">
        <v>34</v>
      </c>
      <c r="H342" s="13" t="s">
        <v>5</v>
      </c>
      <c r="I342" s="13" t="s">
        <v>2</v>
      </c>
      <c r="J342" s="13" t="s">
        <v>3</v>
      </c>
      <c r="K342" s="13" t="s">
        <v>4</v>
      </c>
      <c r="L342" s="21" t="s">
        <v>83</v>
      </c>
      <c r="M342" s="21" t="s">
        <v>34</v>
      </c>
      <c r="N342" s="13" t="s">
        <v>5</v>
      </c>
      <c r="O342" s="13" t="s">
        <v>2</v>
      </c>
      <c r="P342" s="13" t="s">
        <v>3</v>
      </c>
      <c r="Q342" s="13" t="s">
        <v>4</v>
      </c>
      <c r="R342" s="14" t="s">
        <v>5</v>
      </c>
    </row>
    <row r="343" spans="1:20" ht="15" customHeight="1" x14ac:dyDescent="0.25">
      <c r="A343" s="15" t="s">
        <v>285</v>
      </c>
      <c r="B343" s="16" t="s">
        <v>286</v>
      </c>
      <c r="C343" s="6">
        <v>0</v>
      </c>
      <c r="D343" s="2">
        <v>0</v>
      </c>
      <c r="E343" s="2">
        <v>0</v>
      </c>
      <c r="F343" s="2" t="s">
        <v>235</v>
      </c>
      <c r="G343" s="2" t="s">
        <v>235</v>
      </c>
      <c r="H343" s="22"/>
      <c r="I343" s="6">
        <v>0</v>
      </c>
      <c r="J343" s="2">
        <v>0</v>
      </c>
      <c r="K343" s="2">
        <v>0</v>
      </c>
      <c r="L343" s="2" t="s">
        <v>81</v>
      </c>
      <c r="M343" s="2">
        <v>0</v>
      </c>
      <c r="N343" s="22"/>
      <c r="O343" s="6">
        <v>0</v>
      </c>
      <c r="P343" s="2">
        <v>0</v>
      </c>
      <c r="Q343" s="2">
        <v>0</v>
      </c>
      <c r="R343" s="22"/>
    </row>
    <row r="344" spans="1:20" ht="15" customHeight="1" x14ac:dyDescent="0.25">
      <c r="A344" s="15"/>
      <c r="B344" s="16" t="s">
        <v>287</v>
      </c>
      <c r="C344" s="6"/>
      <c r="F344" s="2" t="s">
        <v>6</v>
      </c>
      <c r="H344" s="22"/>
      <c r="I344" s="6"/>
      <c r="N344" s="22"/>
      <c r="O344" s="6"/>
      <c r="R344" s="22"/>
    </row>
    <row r="345" spans="1:20" ht="15" customHeight="1" x14ac:dyDescent="0.25">
      <c r="A345" s="15"/>
      <c r="B345" s="16" t="s">
        <v>288</v>
      </c>
      <c r="C345" s="6"/>
      <c r="F345" s="2" t="s">
        <v>6</v>
      </c>
      <c r="H345" s="22"/>
      <c r="I345" s="6"/>
      <c r="N345" s="22"/>
      <c r="O345" s="6"/>
      <c r="R345" s="22"/>
    </row>
    <row r="346" spans="1:20" ht="15" customHeight="1" x14ac:dyDescent="0.25">
      <c r="A346" s="15"/>
      <c r="B346" s="16" t="s">
        <v>289</v>
      </c>
      <c r="C346" s="6"/>
      <c r="F346" s="2" t="s">
        <v>6</v>
      </c>
      <c r="H346" s="22"/>
      <c r="I346" s="6"/>
      <c r="N346" s="22"/>
      <c r="O346" s="6"/>
      <c r="R346" s="22"/>
    </row>
    <row r="347" spans="1:20" ht="15" customHeight="1" x14ac:dyDescent="0.25">
      <c r="A347" s="15"/>
      <c r="B347" s="16" t="s">
        <v>290</v>
      </c>
      <c r="C347" s="6"/>
      <c r="F347" s="2" t="s">
        <v>6</v>
      </c>
      <c r="H347" s="22"/>
      <c r="I347" s="6"/>
      <c r="N347" s="22"/>
      <c r="O347" s="6"/>
      <c r="R347" s="22"/>
    </row>
    <row r="348" spans="1:20" ht="15" customHeight="1" x14ac:dyDescent="0.25">
      <c r="A348" s="15"/>
      <c r="B348" s="16" t="s">
        <v>291</v>
      </c>
      <c r="C348" s="6"/>
      <c r="F348" s="2" t="s">
        <v>6</v>
      </c>
      <c r="H348" s="22"/>
      <c r="I348" s="6"/>
      <c r="N348" s="22"/>
      <c r="O348" s="6"/>
      <c r="R348" s="22"/>
    </row>
    <row r="349" spans="1:20" ht="15" customHeight="1" x14ac:dyDescent="0.25">
      <c r="A349" s="15"/>
      <c r="B349" s="16" t="s">
        <v>292</v>
      </c>
      <c r="C349" s="6"/>
      <c r="F349" s="2" t="s">
        <v>6</v>
      </c>
      <c r="H349" s="22"/>
      <c r="I349" s="6"/>
      <c r="N349" s="22"/>
      <c r="O349" s="6"/>
      <c r="R349" s="22"/>
    </row>
    <row r="350" spans="1:20" ht="15" customHeight="1" x14ac:dyDescent="0.25">
      <c r="A350" s="15"/>
      <c r="B350" s="16" t="s">
        <v>293</v>
      </c>
      <c r="C350" s="6"/>
      <c r="F350" s="2" t="s">
        <v>6</v>
      </c>
      <c r="H350" s="22"/>
      <c r="I350" s="6"/>
      <c r="N350" s="22"/>
      <c r="O350" s="6"/>
      <c r="R350" s="22"/>
    </row>
    <row r="351" spans="1:20" ht="15" customHeight="1" x14ac:dyDescent="0.25">
      <c r="A351" s="15" t="s">
        <v>285</v>
      </c>
      <c r="B351" s="16" t="s">
        <v>294</v>
      </c>
      <c r="C351" s="6">
        <v>0</v>
      </c>
      <c r="D351" s="2">
        <v>0</v>
      </c>
      <c r="E351" s="2">
        <v>0</v>
      </c>
      <c r="F351" s="2" t="s">
        <v>235</v>
      </c>
      <c r="G351" s="2" t="s">
        <v>235</v>
      </c>
      <c r="H351" s="22"/>
      <c r="I351" s="6">
        <v>0</v>
      </c>
      <c r="J351" s="2">
        <v>0</v>
      </c>
      <c r="K351" s="2">
        <v>0</v>
      </c>
      <c r="L351" s="2" t="s">
        <v>81</v>
      </c>
      <c r="M351" s="2">
        <v>0</v>
      </c>
      <c r="N351" s="22"/>
      <c r="O351" s="6">
        <v>0</v>
      </c>
      <c r="P351" s="2">
        <v>0</v>
      </c>
      <c r="Q351" s="2">
        <v>0</v>
      </c>
      <c r="R351" s="22"/>
    </row>
    <row r="352" spans="1:20" ht="15" customHeight="1" x14ac:dyDescent="0.25">
      <c r="A352" s="15"/>
      <c r="B352" s="16" t="s">
        <v>295</v>
      </c>
      <c r="C352" s="6"/>
      <c r="F352" s="2" t="s">
        <v>6</v>
      </c>
      <c r="H352" s="22"/>
      <c r="I352" s="6"/>
      <c r="N352" s="22"/>
      <c r="O352" s="6"/>
      <c r="R352" s="22"/>
    </row>
    <row r="353" spans="1:19" ht="15" customHeight="1" x14ac:dyDescent="0.25">
      <c r="A353" s="15"/>
      <c r="B353" s="16" t="s">
        <v>296</v>
      </c>
      <c r="C353" s="6"/>
      <c r="F353" s="2" t="s">
        <v>6</v>
      </c>
      <c r="H353" s="22"/>
      <c r="I353" s="6"/>
      <c r="N353" s="22"/>
      <c r="O353" s="6"/>
      <c r="R353" s="22"/>
      <c r="S353" s="27"/>
    </row>
    <row r="354" spans="1:19" ht="15" customHeight="1" x14ac:dyDescent="0.25">
      <c r="A354" s="15" t="s">
        <v>285</v>
      </c>
      <c r="B354" s="16" t="s">
        <v>297</v>
      </c>
      <c r="C354" s="6">
        <v>0</v>
      </c>
      <c r="D354" s="2">
        <v>0</v>
      </c>
      <c r="E354" s="2">
        <v>0</v>
      </c>
      <c r="F354" s="2" t="s">
        <v>6</v>
      </c>
      <c r="G354" s="2" t="s">
        <v>235</v>
      </c>
      <c r="H354" s="22"/>
      <c r="I354" s="6">
        <v>0</v>
      </c>
      <c r="J354" s="2">
        <v>0</v>
      </c>
      <c r="K354" s="2">
        <v>0</v>
      </c>
      <c r="L354" s="2" t="s">
        <v>104</v>
      </c>
      <c r="M354" s="2">
        <v>0</v>
      </c>
      <c r="N354" s="22"/>
      <c r="O354" s="6">
        <v>0</v>
      </c>
      <c r="P354" s="2">
        <v>0</v>
      </c>
      <c r="Q354" s="2">
        <v>0</v>
      </c>
      <c r="R354" s="22"/>
    </row>
    <row r="355" spans="1:19" ht="15" customHeight="1" x14ac:dyDescent="0.25">
      <c r="A355" s="15"/>
      <c r="B355" s="16" t="s">
        <v>298</v>
      </c>
      <c r="C355" s="6"/>
      <c r="F355" s="2" t="s">
        <v>6</v>
      </c>
      <c r="H355" s="22"/>
      <c r="I355" s="6"/>
      <c r="N355" s="22"/>
      <c r="O355" s="6"/>
      <c r="R355" s="22"/>
    </row>
    <row r="356" spans="1:19" ht="15" customHeight="1" x14ac:dyDescent="0.25">
      <c r="A356" s="15"/>
      <c r="B356" s="16" t="s">
        <v>299</v>
      </c>
      <c r="C356" s="6"/>
      <c r="F356" s="2" t="s">
        <v>6</v>
      </c>
      <c r="H356" s="22"/>
      <c r="I356" s="6"/>
      <c r="N356" s="22"/>
      <c r="O356" s="6"/>
      <c r="R356" s="22"/>
    </row>
    <row r="357" spans="1:19" ht="15" customHeight="1" x14ac:dyDescent="0.25">
      <c r="A357" s="15"/>
      <c r="B357" s="16" t="s">
        <v>300</v>
      </c>
      <c r="C357" s="6"/>
      <c r="F357" s="2" t="s">
        <v>6</v>
      </c>
      <c r="H357" s="22"/>
      <c r="I357" s="6"/>
      <c r="N357" s="22"/>
      <c r="O357" s="6"/>
      <c r="R357" s="22"/>
    </row>
    <row r="358" spans="1:19" ht="15" customHeight="1" x14ac:dyDescent="0.25">
      <c r="A358" s="15"/>
      <c r="B358" s="16" t="s">
        <v>301</v>
      </c>
      <c r="C358" s="6"/>
      <c r="F358" s="2" t="s">
        <v>6</v>
      </c>
      <c r="H358" s="22"/>
      <c r="I358" s="6"/>
      <c r="N358" s="22"/>
      <c r="O358" s="6"/>
      <c r="R358" s="22"/>
    </row>
    <row r="359" spans="1:19" ht="15" customHeight="1" x14ac:dyDescent="0.25">
      <c r="A359" s="15"/>
      <c r="B359" s="16" t="s">
        <v>302</v>
      </c>
      <c r="C359" s="6"/>
      <c r="F359" s="2" t="s">
        <v>6</v>
      </c>
      <c r="H359" s="22"/>
      <c r="I359" s="6"/>
      <c r="N359" s="22"/>
      <c r="O359" s="6"/>
      <c r="R359" s="22"/>
    </row>
    <row r="360" spans="1:19" ht="15" customHeight="1" x14ac:dyDescent="0.25">
      <c r="A360" s="15"/>
      <c r="B360" s="16" t="s">
        <v>303</v>
      </c>
      <c r="C360" s="6"/>
      <c r="F360" s="2" t="s">
        <v>6</v>
      </c>
      <c r="H360" s="22"/>
      <c r="I360" s="6"/>
      <c r="N360" s="22"/>
      <c r="O360" s="6"/>
      <c r="R360" s="22"/>
    </row>
    <row r="361" spans="1:19" ht="15" customHeight="1" x14ac:dyDescent="0.25">
      <c r="A361" s="15"/>
      <c r="B361" s="16" t="s">
        <v>304</v>
      </c>
      <c r="C361" s="6"/>
      <c r="F361" s="2" t="s">
        <v>6</v>
      </c>
      <c r="H361" s="22"/>
      <c r="I361" s="6"/>
      <c r="N361" s="22"/>
      <c r="O361" s="6"/>
      <c r="R361" s="22"/>
    </row>
    <row r="362" spans="1:19" ht="15" customHeight="1" x14ac:dyDescent="0.25">
      <c r="A362" s="15" t="s">
        <v>285</v>
      </c>
      <c r="B362" s="16" t="s">
        <v>305</v>
      </c>
      <c r="C362" s="6">
        <v>0</v>
      </c>
      <c r="D362" s="2">
        <v>0</v>
      </c>
      <c r="E362" s="2">
        <v>0</v>
      </c>
      <c r="F362" s="2">
        <v>0</v>
      </c>
      <c r="G362" s="2">
        <v>0</v>
      </c>
      <c r="H362" s="22"/>
      <c r="I362" s="6">
        <v>0</v>
      </c>
      <c r="J362" s="2">
        <v>0</v>
      </c>
      <c r="K362" s="2">
        <v>0</v>
      </c>
      <c r="L362" s="2">
        <v>0</v>
      </c>
      <c r="M362" s="2">
        <v>0</v>
      </c>
      <c r="N362" s="22"/>
      <c r="O362" s="6">
        <v>0</v>
      </c>
      <c r="P362" s="2">
        <v>0</v>
      </c>
      <c r="Q362" s="2">
        <v>0</v>
      </c>
      <c r="R362" s="22"/>
    </row>
    <row r="363" spans="1:19" ht="15" customHeight="1" x14ac:dyDescent="0.25">
      <c r="A363" s="15" t="s">
        <v>285</v>
      </c>
      <c r="B363" s="16" t="s">
        <v>306</v>
      </c>
      <c r="C363" s="6" t="s">
        <v>6</v>
      </c>
      <c r="D363" s="2">
        <v>0</v>
      </c>
      <c r="F363" s="2" t="s">
        <v>6</v>
      </c>
      <c r="G363" s="2">
        <v>0</v>
      </c>
      <c r="H363" s="22"/>
      <c r="I363" s="6" t="s">
        <v>6</v>
      </c>
      <c r="J363" s="2">
        <v>0</v>
      </c>
      <c r="L363" s="2">
        <v>0</v>
      </c>
      <c r="M363" s="2">
        <v>0</v>
      </c>
      <c r="N363" s="22"/>
      <c r="O363" s="6" t="s">
        <v>6</v>
      </c>
      <c r="P363" s="2">
        <v>0</v>
      </c>
      <c r="R363" s="22"/>
      <c r="S363" s="27" t="s">
        <v>264</v>
      </c>
    </row>
    <row r="364" spans="1:19" ht="15" customHeight="1" x14ac:dyDescent="0.25">
      <c r="A364" s="15"/>
      <c r="B364" s="16" t="s">
        <v>307</v>
      </c>
      <c r="C364" s="6"/>
      <c r="F364" s="2" t="s">
        <v>6</v>
      </c>
      <c r="H364" s="22"/>
      <c r="I364" s="6"/>
      <c r="N364" s="22"/>
      <c r="O364" s="6"/>
      <c r="R364" s="22"/>
    </row>
    <row r="365" spans="1:19" ht="15" customHeight="1" x14ac:dyDescent="0.25">
      <c r="A365" s="15"/>
      <c r="B365" s="16" t="s">
        <v>308</v>
      </c>
      <c r="C365" s="6"/>
      <c r="F365" s="2" t="s">
        <v>6</v>
      </c>
      <c r="H365" s="22"/>
      <c r="I365" s="6"/>
      <c r="N365" s="22"/>
      <c r="O365" s="6"/>
      <c r="R365" s="22"/>
    </row>
    <row r="366" spans="1:19" ht="15" customHeight="1" x14ac:dyDescent="0.25">
      <c r="A366" s="15"/>
      <c r="B366" s="16" t="s">
        <v>309</v>
      </c>
      <c r="C366" s="6"/>
      <c r="F366" s="2" t="s">
        <v>6</v>
      </c>
      <c r="H366" s="22"/>
      <c r="I366" s="6"/>
      <c r="N366" s="22"/>
      <c r="O366" s="6"/>
      <c r="R366" s="22"/>
    </row>
    <row r="367" spans="1:19" ht="15" customHeight="1" thickBot="1" x14ac:dyDescent="0.3">
      <c r="A367" s="17"/>
      <c r="B367" s="18"/>
      <c r="C367" s="7"/>
      <c r="D367" s="8"/>
      <c r="E367" s="8"/>
      <c r="F367" s="8"/>
      <c r="G367" s="8"/>
      <c r="H367" s="23"/>
      <c r="I367" s="7"/>
      <c r="J367" s="8"/>
      <c r="K367" s="8"/>
      <c r="L367" s="8"/>
      <c r="M367" s="8"/>
      <c r="N367" s="23"/>
      <c r="O367" s="7"/>
      <c r="P367" s="8"/>
      <c r="Q367" s="8"/>
      <c r="R367" s="23"/>
    </row>
    <row r="368" spans="1:19" ht="15" customHeight="1" thickBot="1" x14ac:dyDescent="0.3"/>
    <row r="369" spans="1:20" ht="15" customHeight="1" x14ac:dyDescent="0.25">
      <c r="A369" s="2"/>
      <c r="B369" s="3" t="s">
        <v>10</v>
      </c>
      <c r="C369" s="4">
        <f>COUNTIF(C377:C401,"A")</f>
        <v>0</v>
      </c>
      <c r="D369" s="5">
        <f t="shared" ref="D369:H369" si="224">COUNTIF(D377:D401,"A")</f>
        <v>0</v>
      </c>
      <c r="E369" s="5">
        <f t="shared" si="224"/>
        <v>3</v>
      </c>
      <c r="F369" s="5">
        <f t="shared" si="224"/>
        <v>23</v>
      </c>
      <c r="G369" s="5">
        <f t="shared" si="224"/>
        <v>0</v>
      </c>
      <c r="H369" s="5">
        <f t="shared" si="224"/>
        <v>0</v>
      </c>
      <c r="I369" s="5">
        <f>COUNTIF(I377:I401,"A")</f>
        <v>0</v>
      </c>
      <c r="J369" s="5">
        <f t="shared" ref="J369:N369" si="225">COUNTIF(J377:J401,"A")</f>
        <v>0</v>
      </c>
      <c r="K369" s="5">
        <f t="shared" si="225"/>
        <v>3</v>
      </c>
      <c r="L369" s="5">
        <f t="shared" si="225"/>
        <v>0</v>
      </c>
      <c r="M369" s="5">
        <f t="shared" si="225"/>
        <v>0</v>
      </c>
      <c r="N369" s="5">
        <f t="shared" si="225"/>
        <v>0</v>
      </c>
      <c r="O369" s="5">
        <f>COUNTIF(O377:O401,"A")</f>
        <v>0</v>
      </c>
      <c r="P369" s="5">
        <f t="shared" ref="P369:R369" si="226">COUNTIF(P377:P401,"A")</f>
        <v>0</v>
      </c>
      <c r="Q369" s="5">
        <f t="shared" si="226"/>
        <v>3</v>
      </c>
      <c r="R369" s="10">
        <f t="shared" si="226"/>
        <v>0</v>
      </c>
      <c r="S369" s="26" t="s">
        <v>74</v>
      </c>
    </row>
    <row r="370" spans="1:20" ht="15" customHeight="1" x14ac:dyDescent="0.25">
      <c r="A370" s="25" t="s">
        <v>52</v>
      </c>
      <c r="B370" s="3" t="s">
        <v>11</v>
      </c>
      <c r="C370" s="28">
        <f>C369/C372</f>
        <v>0</v>
      </c>
      <c r="D370" s="29">
        <f t="shared" ref="D370:H370" si="227">D369/D372</f>
        <v>0</v>
      </c>
      <c r="E370" s="29">
        <f t="shared" si="227"/>
        <v>0.5</v>
      </c>
      <c r="F370" s="29">
        <f t="shared" si="227"/>
        <v>0.95833333333333337</v>
      </c>
      <c r="G370" s="29">
        <f t="shared" si="227"/>
        <v>0</v>
      </c>
      <c r="H370" s="29" t="e">
        <f t="shared" si="227"/>
        <v>#DIV/0!</v>
      </c>
      <c r="I370" s="29">
        <f>I369/I372</f>
        <v>0</v>
      </c>
      <c r="J370" s="29">
        <f t="shared" ref="J370:N370" si="228">J369/J372</f>
        <v>0</v>
      </c>
      <c r="K370" s="29">
        <f t="shared" si="228"/>
        <v>0.5</v>
      </c>
      <c r="L370" s="29">
        <f t="shared" si="228"/>
        <v>0</v>
      </c>
      <c r="M370" s="29">
        <f t="shared" si="228"/>
        <v>0</v>
      </c>
      <c r="N370" s="29" t="e">
        <f t="shared" si="228"/>
        <v>#DIV/0!</v>
      </c>
      <c r="O370" s="29">
        <f>O369/O372</f>
        <v>0</v>
      </c>
      <c r="P370" s="29">
        <f t="shared" ref="P370:R370" si="229">P369/P372</f>
        <v>0</v>
      </c>
      <c r="Q370" s="29">
        <f t="shared" si="229"/>
        <v>0.5</v>
      </c>
      <c r="R370" s="30" t="e">
        <f t="shared" si="229"/>
        <v>#DIV/0!</v>
      </c>
      <c r="S370" s="2" t="s">
        <v>6</v>
      </c>
      <c r="T370" s="1" t="s">
        <v>75</v>
      </c>
    </row>
    <row r="371" spans="1:20" ht="15" customHeight="1" x14ac:dyDescent="0.25">
      <c r="A371" s="9">
        <f>COUNTA(A377:A401)/C374</f>
        <v>0.25</v>
      </c>
      <c r="B371" s="3" t="s">
        <v>12</v>
      </c>
      <c r="C371" s="28">
        <f>C369/$C374</f>
        <v>0</v>
      </c>
      <c r="D371" s="29">
        <f>D369/$C374</f>
        <v>0</v>
      </c>
      <c r="E371" s="29">
        <f t="shared" ref="E371:R371" si="230">E369/$C374</f>
        <v>0.125</v>
      </c>
      <c r="F371" s="29">
        <f t="shared" si="230"/>
        <v>0.95833333333333337</v>
      </c>
      <c r="G371" s="29">
        <f t="shared" si="230"/>
        <v>0</v>
      </c>
      <c r="H371" s="29">
        <f t="shared" si="230"/>
        <v>0</v>
      </c>
      <c r="I371" s="29">
        <f t="shared" si="230"/>
        <v>0</v>
      </c>
      <c r="J371" s="29">
        <f t="shared" si="230"/>
        <v>0</v>
      </c>
      <c r="K371" s="29">
        <f t="shared" si="230"/>
        <v>0.125</v>
      </c>
      <c r="L371" s="29">
        <f t="shared" si="230"/>
        <v>0</v>
      </c>
      <c r="M371" s="29">
        <f t="shared" si="230"/>
        <v>0</v>
      </c>
      <c r="N371" s="29">
        <f t="shared" si="230"/>
        <v>0</v>
      </c>
      <c r="O371" s="29">
        <f t="shared" si="230"/>
        <v>0</v>
      </c>
      <c r="P371" s="29">
        <f t="shared" si="230"/>
        <v>0</v>
      </c>
      <c r="Q371" s="29">
        <f t="shared" si="230"/>
        <v>0.125</v>
      </c>
      <c r="R371" s="30">
        <f t="shared" si="230"/>
        <v>0</v>
      </c>
      <c r="S371" s="2" t="s">
        <v>76</v>
      </c>
      <c r="T371" s="1" t="s">
        <v>77</v>
      </c>
    </row>
    <row r="372" spans="1:20" ht="15" customHeight="1" x14ac:dyDescent="0.25">
      <c r="A372" s="24" t="s">
        <v>71</v>
      </c>
      <c r="B372" s="3" t="s">
        <v>8</v>
      </c>
      <c r="C372" s="6">
        <f>COUNTA(C377:C401)</f>
        <v>6</v>
      </c>
      <c r="D372" s="2">
        <f t="shared" ref="D372:H372" si="231">COUNTA(D377:D401)</f>
        <v>6</v>
      </c>
      <c r="E372" s="2">
        <f t="shared" si="231"/>
        <v>6</v>
      </c>
      <c r="F372" s="2">
        <f t="shared" si="231"/>
        <v>24</v>
      </c>
      <c r="G372" s="2">
        <f t="shared" si="231"/>
        <v>5</v>
      </c>
      <c r="H372" s="2">
        <f t="shared" si="231"/>
        <v>0</v>
      </c>
      <c r="I372" s="2">
        <f>COUNTA(I377:I401)</f>
        <v>6</v>
      </c>
      <c r="J372" s="2">
        <f t="shared" ref="J372:N372" si="232">COUNTA(J377:J401)</f>
        <v>6</v>
      </c>
      <c r="K372" s="2">
        <f t="shared" si="232"/>
        <v>6</v>
      </c>
      <c r="L372" s="2">
        <f t="shared" si="232"/>
        <v>6</v>
      </c>
      <c r="M372" s="2">
        <f t="shared" si="232"/>
        <v>6</v>
      </c>
      <c r="N372" s="2">
        <f t="shared" si="232"/>
        <v>0</v>
      </c>
      <c r="O372" s="2">
        <f>COUNTA(O377:O401)</f>
        <v>6</v>
      </c>
      <c r="P372" s="2">
        <f t="shared" ref="P372:R372" si="233">COUNTA(P377:P401)</f>
        <v>6</v>
      </c>
      <c r="Q372" s="2">
        <f t="shared" si="233"/>
        <v>6</v>
      </c>
      <c r="R372" s="11">
        <f t="shared" si="233"/>
        <v>0</v>
      </c>
      <c r="S372" s="2">
        <v>0</v>
      </c>
      <c r="T372" s="1" t="s">
        <v>78</v>
      </c>
    </row>
    <row r="373" spans="1:20" ht="15" customHeight="1" x14ac:dyDescent="0.25">
      <c r="A373" s="33" t="s">
        <v>310</v>
      </c>
      <c r="B373" s="3" t="s">
        <v>9</v>
      </c>
      <c r="C373" s="28">
        <f>C372/$C374</f>
        <v>0.25</v>
      </c>
      <c r="D373" s="29">
        <f t="shared" ref="D373" si="234">D372/$C374</f>
        <v>0.25</v>
      </c>
      <c r="E373" s="29">
        <f t="shared" ref="E373" si="235">E372/$C374</f>
        <v>0.25</v>
      </c>
      <c r="F373" s="29">
        <f t="shared" ref="F373" si="236">F372/$C374</f>
        <v>1</v>
      </c>
      <c r="G373" s="29">
        <f t="shared" ref="G373" si="237">G372/$C374</f>
        <v>0.20833333333333334</v>
      </c>
      <c r="H373" s="29">
        <f t="shared" ref="H373" si="238">H372/$C374</f>
        <v>0</v>
      </c>
      <c r="I373" s="29">
        <f t="shared" ref="I373" si="239">I372/$C374</f>
        <v>0.25</v>
      </c>
      <c r="J373" s="29">
        <f t="shared" ref="J373" si="240">J372/$C374</f>
        <v>0.25</v>
      </c>
      <c r="K373" s="29">
        <f t="shared" ref="K373" si="241">K372/$C374</f>
        <v>0.25</v>
      </c>
      <c r="L373" s="29">
        <f t="shared" ref="L373" si="242">L372/$C374</f>
        <v>0.25</v>
      </c>
      <c r="M373" s="29">
        <f t="shared" ref="M373" si="243">M372/$C374</f>
        <v>0.25</v>
      </c>
      <c r="N373" s="29">
        <f t="shared" ref="N373" si="244">N372/$C374</f>
        <v>0</v>
      </c>
      <c r="O373" s="29">
        <f t="shared" ref="O373" si="245">O372/$C374</f>
        <v>0.25</v>
      </c>
      <c r="P373" s="29">
        <f t="shared" ref="P373" si="246">P372/$C374</f>
        <v>0.25</v>
      </c>
      <c r="Q373" s="29">
        <f t="shared" ref="Q373" si="247">Q372/$C374</f>
        <v>0.25</v>
      </c>
      <c r="R373" s="30">
        <f t="shared" ref="R373" si="248">R372/$C374</f>
        <v>0</v>
      </c>
      <c r="S373" s="2" t="s">
        <v>81</v>
      </c>
      <c r="T373" s="1" t="s">
        <v>82</v>
      </c>
    </row>
    <row r="374" spans="1:20" ht="15" customHeight="1" thickBot="1" x14ac:dyDescent="0.3">
      <c r="A374" s="24" t="s">
        <v>72</v>
      </c>
      <c r="B374" s="3" t="s">
        <v>7</v>
      </c>
      <c r="C374" s="7">
        <f>COUNTA($B377:$B401)</f>
        <v>24</v>
      </c>
      <c r="D374" s="8"/>
      <c r="E374" s="8"/>
      <c r="F374" s="8"/>
      <c r="G374" s="8"/>
      <c r="H374" s="31"/>
      <c r="I374" s="8"/>
      <c r="J374" s="8"/>
      <c r="K374" s="8"/>
      <c r="L374" s="8"/>
      <c r="M374" s="8"/>
      <c r="N374" s="31"/>
      <c r="O374" s="8"/>
      <c r="P374" s="8"/>
      <c r="Q374" s="8"/>
      <c r="R374" s="18"/>
      <c r="S374" s="2" t="s">
        <v>134</v>
      </c>
      <c r="T374" s="1" t="s">
        <v>135</v>
      </c>
    </row>
    <row r="375" spans="1:20" ht="15" customHeight="1" thickBot="1" x14ac:dyDescent="0.3">
      <c r="A375" s="33" t="s">
        <v>311</v>
      </c>
      <c r="C375" s="35" t="s">
        <v>15</v>
      </c>
      <c r="D375" s="36"/>
      <c r="E375" s="36"/>
      <c r="F375" s="36"/>
      <c r="G375" s="36"/>
      <c r="H375" s="36"/>
      <c r="I375" s="36" t="s">
        <v>13</v>
      </c>
      <c r="J375" s="36"/>
      <c r="K375" s="36"/>
      <c r="L375" s="36"/>
      <c r="M375" s="36"/>
      <c r="N375" s="36"/>
      <c r="O375" s="36" t="s">
        <v>14</v>
      </c>
      <c r="P375" s="36"/>
      <c r="Q375" s="36"/>
      <c r="R375" s="37"/>
    </row>
    <row r="376" spans="1:20" ht="28" customHeight="1" thickBot="1" x14ac:dyDescent="0.3">
      <c r="A376" s="19" t="s">
        <v>1</v>
      </c>
      <c r="B376" s="20" t="s">
        <v>0</v>
      </c>
      <c r="C376" s="12" t="s">
        <v>2</v>
      </c>
      <c r="D376" s="13" t="s">
        <v>3</v>
      </c>
      <c r="E376" s="13" t="s">
        <v>4</v>
      </c>
      <c r="F376" s="21" t="s">
        <v>84</v>
      </c>
      <c r="G376" s="21" t="s">
        <v>34</v>
      </c>
      <c r="H376" s="13" t="s">
        <v>5</v>
      </c>
      <c r="I376" s="13" t="s">
        <v>2</v>
      </c>
      <c r="J376" s="13" t="s">
        <v>3</v>
      </c>
      <c r="K376" s="13" t="s">
        <v>4</v>
      </c>
      <c r="L376" s="21" t="s">
        <v>83</v>
      </c>
      <c r="M376" s="21" t="s">
        <v>34</v>
      </c>
      <c r="N376" s="13" t="s">
        <v>5</v>
      </c>
      <c r="O376" s="13" t="s">
        <v>2</v>
      </c>
      <c r="P376" s="13" t="s">
        <v>3</v>
      </c>
      <c r="Q376" s="13" t="s">
        <v>4</v>
      </c>
      <c r="R376" s="14" t="s">
        <v>5</v>
      </c>
    </row>
    <row r="377" spans="1:20" ht="15" customHeight="1" x14ac:dyDescent="0.25">
      <c r="A377" s="15" t="s">
        <v>312</v>
      </c>
      <c r="B377" s="16" t="s">
        <v>313</v>
      </c>
      <c r="C377" s="6">
        <v>0</v>
      </c>
      <c r="D377" s="2">
        <v>0</v>
      </c>
      <c r="E377" s="2" t="s">
        <v>6</v>
      </c>
      <c r="F377" s="2" t="s">
        <v>6</v>
      </c>
      <c r="G377" s="2" t="s">
        <v>104</v>
      </c>
      <c r="H377" s="22"/>
      <c r="I377" s="6">
        <v>0</v>
      </c>
      <c r="J377" s="2">
        <v>0</v>
      </c>
      <c r="K377" s="2" t="s">
        <v>6</v>
      </c>
      <c r="L377" s="2">
        <v>0</v>
      </c>
      <c r="M377" s="2">
        <v>0</v>
      </c>
      <c r="N377" s="22"/>
      <c r="O377" s="6">
        <v>0</v>
      </c>
      <c r="P377" s="2">
        <v>0</v>
      </c>
      <c r="Q377" s="2" t="s">
        <v>6</v>
      </c>
      <c r="R377" s="22"/>
    </row>
    <row r="378" spans="1:20" ht="15" customHeight="1" x14ac:dyDescent="0.25">
      <c r="A378" s="15"/>
      <c r="B378" s="16" t="s">
        <v>314</v>
      </c>
      <c r="C378" s="6"/>
      <c r="F378" s="2" t="s">
        <v>6</v>
      </c>
      <c r="H378" s="22"/>
      <c r="I378" s="6"/>
      <c r="N378" s="22"/>
      <c r="O378" s="6"/>
      <c r="R378" s="22"/>
    </row>
    <row r="379" spans="1:20" ht="15" customHeight="1" x14ac:dyDescent="0.25">
      <c r="A379" s="15"/>
      <c r="B379" s="16" t="s">
        <v>315</v>
      </c>
      <c r="C379" s="6"/>
      <c r="F379" s="2" t="s">
        <v>6</v>
      </c>
      <c r="H379" s="22"/>
      <c r="I379" s="6"/>
      <c r="N379" s="22"/>
      <c r="O379" s="6"/>
      <c r="R379" s="22"/>
    </row>
    <row r="380" spans="1:20" ht="15" customHeight="1" x14ac:dyDescent="0.25">
      <c r="A380" s="15"/>
      <c r="B380" s="16" t="s">
        <v>316</v>
      </c>
      <c r="C380" s="6"/>
      <c r="F380" s="2" t="s">
        <v>6</v>
      </c>
      <c r="H380" s="22"/>
      <c r="I380" s="6"/>
      <c r="N380" s="22"/>
      <c r="O380" s="6"/>
      <c r="R380" s="22"/>
    </row>
    <row r="381" spans="1:20" ht="15" customHeight="1" x14ac:dyDescent="0.25">
      <c r="A381" s="15"/>
      <c r="B381" s="16" t="s">
        <v>317</v>
      </c>
      <c r="C381" s="6"/>
      <c r="F381" s="2" t="s">
        <v>6</v>
      </c>
      <c r="H381" s="22"/>
      <c r="I381" s="6"/>
      <c r="N381" s="22"/>
      <c r="O381" s="6"/>
      <c r="R381" s="22"/>
    </row>
    <row r="382" spans="1:20" ht="15" customHeight="1" x14ac:dyDescent="0.25">
      <c r="A382" s="15"/>
      <c r="B382" s="16" t="s">
        <v>318</v>
      </c>
      <c r="C382" s="6"/>
      <c r="F382" s="2" t="s">
        <v>6</v>
      </c>
      <c r="H382" s="22"/>
      <c r="I382" s="6"/>
      <c r="N382" s="22"/>
      <c r="O382" s="6"/>
      <c r="R382" s="22"/>
    </row>
    <row r="383" spans="1:20" ht="15" customHeight="1" x14ac:dyDescent="0.25">
      <c r="A383" s="15"/>
      <c r="B383" s="16" t="s">
        <v>319</v>
      </c>
      <c r="C383" s="6"/>
      <c r="F383" s="2" t="s">
        <v>6</v>
      </c>
      <c r="H383" s="22"/>
      <c r="I383" s="6"/>
      <c r="N383" s="22"/>
      <c r="O383" s="6"/>
      <c r="R383" s="22"/>
    </row>
    <row r="384" spans="1:20" ht="15" customHeight="1" x14ac:dyDescent="0.25">
      <c r="A384" s="15"/>
      <c r="B384" s="16" t="s">
        <v>320</v>
      </c>
      <c r="C384" s="6"/>
      <c r="F384" s="2" t="s">
        <v>6</v>
      </c>
      <c r="H384" s="22"/>
      <c r="I384" s="6"/>
      <c r="N384" s="22"/>
      <c r="O384" s="6"/>
      <c r="R384" s="22"/>
    </row>
    <row r="385" spans="1:19" ht="15" customHeight="1" x14ac:dyDescent="0.25">
      <c r="A385" s="15"/>
      <c r="B385" s="16" t="s">
        <v>321</v>
      </c>
      <c r="C385" s="6"/>
      <c r="F385" s="2" t="s">
        <v>6</v>
      </c>
      <c r="H385" s="22"/>
      <c r="I385" s="6"/>
      <c r="N385" s="22"/>
      <c r="O385" s="6"/>
      <c r="R385" s="22"/>
    </row>
    <row r="386" spans="1:19" ht="15" customHeight="1" x14ac:dyDescent="0.25">
      <c r="A386" s="15"/>
      <c r="B386" s="16" t="s">
        <v>322</v>
      </c>
      <c r="C386" s="6"/>
      <c r="F386" s="2" t="s">
        <v>6</v>
      </c>
      <c r="H386" s="22"/>
      <c r="I386" s="6"/>
      <c r="N386" s="22"/>
      <c r="O386" s="6"/>
      <c r="R386" s="22"/>
    </row>
    <row r="387" spans="1:19" ht="15" customHeight="1" x14ac:dyDescent="0.25">
      <c r="A387" s="15"/>
      <c r="B387" s="16" t="s">
        <v>323</v>
      </c>
      <c r="C387" s="6"/>
      <c r="F387" s="2" t="s">
        <v>6</v>
      </c>
      <c r="H387" s="22"/>
      <c r="I387" s="6"/>
      <c r="N387" s="22"/>
      <c r="O387" s="6"/>
      <c r="R387" s="22"/>
      <c r="S387" s="27"/>
    </row>
    <row r="388" spans="1:19" ht="15" customHeight="1" x14ac:dyDescent="0.25">
      <c r="A388" s="15" t="s">
        <v>312</v>
      </c>
      <c r="B388" s="16" t="s">
        <v>324</v>
      </c>
      <c r="C388" s="6">
        <v>0</v>
      </c>
      <c r="D388" s="2">
        <v>0</v>
      </c>
      <c r="E388" s="2">
        <v>0</v>
      </c>
      <c r="F388" s="2" t="s">
        <v>6</v>
      </c>
      <c r="G388" s="2">
        <v>0</v>
      </c>
      <c r="H388" s="22"/>
      <c r="I388" s="6">
        <v>0</v>
      </c>
      <c r="J388" s="2">
        <v>0</v>
      </c>
      <c r="K388" s="2">
        <v>0</v>
      </c>
      <c r="L388" s="2">
        <v>0</v>
      </c>
      <c r="M388" s="2">
        <v>0</v>
      </c>
      <c r="N388" s="22"/>
      <c r="O388" s="6">
        <v>0</v>
      </c>
      <c r="P388" s="2">
        <v>0</v>
      </c>
      <c r="Q388" s="2">
        <v>0</v>
      </c>
      <c r="R388" s="22"/>
    </row>
    <row r="389" spans="1:19" ht="15" customHeight="1" x14ac:dyDescent="0.25">
      <c r="A389" s="15"/>
      <c r="B389" s="16" t="s">
        <v>325</v>
      </c>
      <c r="C389" s="6"/>
      <c r="F389" s="2" t="s">
        <v>6</v>
      </c>
      <c r="H389" s="22"/>
      <c r="I389" s="6"/>
      <c r="N389" s="22"/>
      <c r="O389" s="6"/>
      <c r="R389" s="22"/>
    </row>
    <row r="390" spans="1:19" ht="15" customHeight="1" x14ac:dyDescent="0.25">
      <c r="A390" s="15"/>
      <c r="B390" s="16" t="s">
        <v>326</v>
      </c>
      <c r="C390" s="6"/>
      <c r="F390" s="2" t="s">
        <v>6</v>
      </c>
      <c r="H390" s="22"/>
      <c r="I390" s="6"/>
      <c r="N390" s="22"/>
      <c r="O390" s="6"/>
      <c r="R390" s="22"/>
    </row>
    <row r="391" spans="1:19" ht="15" customHeight="1" x14ac:dyDescent="0.25">
      <c r="A391" s="15"/>
      <c r="B391" s="16" t="s">
        <v>327</v>
      </c>
      <c r="C391" s="6"/>
      <c r="F391" s="2" t="s">
        <v>6</v>
      </c>
      <c r="H391" s="22"/>
      <c r="I391" s="6"/>
      <c r="N391" s="22"/>
      <c r="O391" s="6"/>
      <c r="R391" s="22"/>
    </row>
    <row r="392" spans="1:19" ht="15" customHeight="1" x14ac:dyDescent="0.25">
      <c r="A392" s="15" t="s">
        <v>312</v>
      </c>
      <c r="B392" s="16" t="s">
        <v>328</v>
      </c>
      <c r="C392" s="6">
        <v>0</v>
      </c>
      <c r="D392" s="2">
        <v>0</v>
      </c>
      <c r="E392" s="2">
        <v>0</v>
      </c>
      <c r="F392" s="2">
        <v>0</v>
      </c>
      <c r="G392" s="2">
        <v>0</v>
      </c>
      <c r="H392" s="22"/>
      <c r="I392" s="6">
        <v>0</v>
      </c>
      <c r="J392" s="2">
        <v>0</v>
      </c>
      <c r="K392" s="2">
        <v>0</v>
      </c>
      <c r="L392" s="2">
        <v>0</v>
      </c>
      <c r="M392" s="2">
        <v>0</v>
      </c>
      <c r="N392" s="22"/>
      <c r="O392" s="6">
        <v>0</v>
      </c>
      <c r="P392" s="2">
        <v>0</v>
      </c>
      <c r="Q392" s="2">
        <v>0</v>
      </c>
      <c r="R392" s="22"/>
    </row>
    <row r="393" spans="1:19" ht="15" customHeight="1" x14ac:dyDescent="0.25">
      <c r="A393" s="15" t="s">
        <v>312</v>
      </c>
      <c r="B393" s="16" t="s">
        <v>329</v>
      </c>
      <c r="C393" s="6">
        <v>0</v>
      </c>
      <c r="D393" s="2">
        <v>0</v>
      </c>
      <c r="E393" s="2" t="s">
        <v>6</v>
      </c>
      <c r="F393" s="2" t="s">
        <v>6</v>
      </c>
      <c r="G393" s="2">
        <v>0</v>
      </c>
      <c r="H393" s="22"/>
      <c r="I393" s="6">
        <v>0</v>
      </c>
      <c r="J393" s="2">
        <v>0</v>
      </c>
      <c r="K393" s="2" t="s">
        <v>6</v>
      </c>
      <c r="L393" s="2" t="s">
        <v>85</v>
      </c>
      <c r="M393" s="2">
        <v>0</v>
      </c>
      <c r="N393" s="22"/>
      <c r="O393" s="6">
        <v>0</v>
      </c>
      <c r="P393" s="2">
        <v>0</v>
      </c>
      <c r="Q393" s="2" t="s">
        <v>6</v>
      </c>
      <c r="R393" s="22"/>
      <c r="S393" s="27" t="s">
        <v>337</v>
      </c>
    </row>
    <row r="394" spans="1:19" ht="15" customHeight="1" x14ac:dyDescent="0.25">
      <c r="A394" s="15" t="s">
        <v>312</v>
      </c>
      <c r="B394" s="16" t="s">
        <v>330</v>
      </c>
      <c r="C394" s="6">
        <v>0</v>
      </c>
      <c r="D394" s="2">
        <v>0</v>
      </c>
      <c r="E394" s="2" t="s">
        <v>235</v>
      </c>
      <c r="F394" s="2" t="s">
        <v>6</v>
      </c>
      <c r="G394" s="2">
        <v>0</v>
      </c>
      <c r="H394" s="22"/>
      <c r="I394" s="6">
        <v>0</v>
      </c>
      <c r="J394" s="2">
        <v>0</v>
      </c>
      <c r="K394" s="2">
        <v>0</v>
      </c>
      <c r="L394" s="2">
        <v>0</v>
      </c>
      <c r="M394" s="2">
        <v>0</v>
      </c>
      <c r="N394" s="22"/>
      <c r="O394" s="6">
        <v>0</v>
      </c>
      <c r="P394" s="2">
        <v>0</v>
      </c>
      <c r="Q394" s="2">
        <v>0</v>
      </c>
      <c r="R394" s="22"/>
    </row>
    <row r="395" spans="1:19" ht="15" customHeight="1" x14ac:dyDescent="0.25">
      <c r="A395" s="15"/>
      <c r="B395" s="16" t="s">
        <v>331</v>
      </c>
      <c r="C395" s="6"/>
      <c r="F395" s="2" t="s">
        <v>6</v>
      </c>
      <c r="H395" s="22"/>
      <c r="I395" s="6"/>
      <c r="N395" s="22"/>
      <c r="O395" s="6"/>
      <c r="R395" s="22"/>
    </row>
    <row r="396" spans="1:19" ht="15" customHeight="1" x14ac:dyDescent="0.25">
      <c r="A396" s="15"/>
      <c r="B396" s="16" t="s">
        <v>332</v>
      </c>
      <c r="C396" s="6"/>
      <c r="F396" s="2" t="s">
        <v>6</v>
      </c>
      <c r="H396" s="22"/>
      <c r="I396" s="6"/>
      <c r="N396" s="22"/>
      <c r="O396" s="6"/>
      <c r="R396" s="22"/>
    </row>
    <row r="397" spans="1:19" ht="15" customHeight="1" x14ac:dyDescent="0.25">
      <c r="A397" s="15" t="s">
        <v>312</v>
      </c>
      <c r="B397" s="16" t="s">
        <v>333</v>
      </c>
      <c r="C397" s="6">
        <v>0</v>
      </c>
      <c r="D397" s="2">
        <v>0</v>
      </c>
      <c r="E397" s="2" t="s">
        <v>6</v>
      </c>
      <c r="F397" s="2" t="s">
        <v>6</v>
      </c>
      <c r="G397" s="34"/>
      <c r="H397" s="22"/>
      <c r="I397" s="6">
        <v>0</v>
      </c>
      <c r="J397" s="2">
        <v>0</v>
      </c>
      <c r="K397" s="2" t="s">
        <v>6</v>
      </c>
      <c r="L397" s="2">
        <v>0</v>
      </c>
      <c r="M397" s="2" t="s">
        <v>235</v>
      </c>
      <c r="N397" s="22"/>
      <c r="O397" s="6">
        <v>0</v>
      </c>
      <c r="P397" s="2">
        <v>0</v>
      </c>
      <c r="Q397" s="2" t="s">
        <v>6</v>
      </c>
      <c r="R397" s="22"/>
      <c r="S397" s="27" t="s">
        <v>338</v>
      </c>
    </row>
    <row r="398" spans="1:19" ht="15" customHeight="1" x14ac:dyDescent="0.25">
      <c r="A398" s="15"/>
      <c r="B398" s="16" t="s">
        <v>334</v>
      </c>
      <c r="C398" s="6"/>
      <c r="F398" s="2" t="s">
        <v>6</v>
      </c>
      <c r="H398" s="22"/>
      <c r="I398" s="6"/>
      <c r="N398" s="22"/>
      <c r="O398" s="6"/>
      <c r="R398" s="22"/>
    </row>
    <row r="399" spans="1:19" ht="15" customHeight="1" x14ac:dyDescent="0.25">
      <c r="A399" s="15"/>
      <c r="B399" s="16" t="s">
        <v>335</v>
      </c>
      <c r="C399" s="6"/>
      <c r="F399" s="2" t="s">
        <v>6</v>
      </c>
      <c r="H399" s="22"/>
      <c r="I399" s="6"/>
      <c r="N399" s="22"/>
      <c r="O399" s="6"/>
      <c r="R399" s="22"/>
    </row>
    <row r="400" spans="1:19" ht="15" customHeight="1" x14ac:dyDescent="0.25">
      <c r="A400" s="15"/>
      <c r="B400" s="16" t="s">
        <v>336</v>
      </c>
      <c r="C400" s="6"/>
      <c r="F400" s="2" t="s">
        <v>6</v>
      </c>
      <c r="H400" s="22"/>
      <c r="I400" s="6"/>
      <c r="N400" s="22"/>
      <c r="O400" s="6"/>
      <c r="R400" s="22"/>
    </row>
    <row r="401" spans="1:20" ht="15" customHeight="1" thickBot="1" x14ac:dyDescent="0.3">
      <c r="A401" s="17"/>
      <c r="B401" s="18"/>
      <c r="C401" s="7"/>
      <c r="D401" s="8"/>
      <c r="E401" s="8"/>
      <c r="F401" s="8"/>
      <c r="G401" s="8"/>
      <c r="H401" s="23"/>
      <c r="I401" s="7"/>
      <c r="J401" s="8"/>
      <c r="K401" s="8"/>
      <c r="L401" s="8"/>
      <c r="M401" s="8"/>
      <c r="N401" s="23"/>
      <c r="O401" s="7"/>
      <c r="P401" s="8"/>
      <c r="Q401" s="8"/>
      <c r="R401" s="23"/>
    </row>
    <row r="402" spans="1:20" ht="15" customHeight="1" thickBot="1" x14ac:dyDescent="0.3"/>
    <row r="403" spans="1:20" ht="15" customHeight="1" x14ac:dyDescent="0.25">
      <c r="A403" s="2"/>
      <c r="B403" s="3" t="s">
        <v>10</v>
      </c>
      <c r="C403" s="4">
        <f>COUNTIF(C411:C435,"A")</f>
        <v>0</v>
      </c>
      <c r="D403" s="5">
        <f t="shared" ref="D403:H403" si="249">COUNTIF(D411:D435,"A")</f>
        <v>0</v>
      </c>
      <c r="E403" s="5">
        <f t="shared" si="249"/>
        <v>2</v>
      </c>
      <c r="F403" s="5">
        <f t="shared" si="249"/>
        <v>21</v>
      </c>
      <c r="G403" s="5">
        <f t="shared" si="249"/>
        <v>0</v>
      </c>
      <c r="H403" s="5">
        <f t="shared" si="249"/>
        <v>0</v>
      </c>
      <c r="I403" s="5">
        <f>COUNTIF(I411:I435,"A")</f>
        <v>0</v>
      </c>
      <c r="J403" s="5">
        <f t="shared" ref="J403:N403" si="250">COUNTIF(J411:J435,"A")</f>
        <v>0</v>
      </c>
      <c r="K403" s="5">
        <f t="shared" si="250"/>
        <v>2</v>
      </c>
      <c r="L403" s="5">
        <f t="shared" si="250"/>
        <v>0</v>
      </c>
      <c r="M403" s="5">
        <f t="shared" si="250"/>
        <v>0</v>
      </c>
      <c r="N403" s="5">
        <f t="shared" si="250"/>
        <v>0</v>
      </c>
      <c r="O403" s="5">
        <f>COUNTIF(O411:O435,"A")</f>
        <v>0</v>
      </c>
      <c r="P403" s="5">
        <f t="shared" ref="P403:R403" si="251">COUNTIF(P411:P435,"A")</f>
        <v>0</v>
      </c>
      <c r="Q403" s="5">
        <f t="shared" si="251"/>
        <v>2</v>
      </c>
      <c r="R403" s="10">
        <f t="shared" si="251"/>
        <v>0</v>
      </c>
      <c r="S403" s="26" t="s">
        <v>74</v>
      </c>
    </row>
    <row r="404" spans="1:20" ht="15" customHeight="1" x14ac:dyDescent="0.25">
      <c r="A404" s="25" t="s">
        <v>52</v>
      </c>
      <c r="B404" s="3" t="s">
        <v>11</v>
      </c>
      <c r="C404" s="28">
        <f>C403/C406</f>
        <v>0</v>
      </c>
      <c r="D404" s="29">
        <f t="shared" ref="D404:H404" si="252">D403/D406</f>
        <v>0</v>
      </c>
      <c r="E404" s="29">
        <f t="shared" si="252"/>
        <v>0.4</v>
      </c>
      <c r="F404" s="29">
        <f t="shared" si="252"/>
        <v>0.875</v>
      </c>
      <c r="G404" s="29">
        <f t="shared" si="252"/>
        <v>0</v>
      </c>
      <c r="H404" s="29" t="e">
        <f t="shared" si="252"/>
        <v>#DIV/0!</v>
      </c>
      <c r="I404" s="29">
        <f>I403/I406</f>
        <v>0</v>
      </c>
      <c r="J404" s="29">
        <f t="shared" ref="J404:N404" si="253">J403/J406</f>
        <v>0</v>
      </c>
      <c r="K404" s="29">
        <f t="shared" si="253"/>
        <v>0.4</v>
      </c>
      <c r="L404" s="29">
        <f t="shared" si="253"/>
        <v>0</v>
      </c>
      <c r="M404" s="29">
        <f t="shared" si="253"/>
        <v>0</v>
      </c>
      <c r="N404" s="29" t="e">
        <f t="shared" si="253"/>
        <v>#DIV/0!</v>
      </c>
      <c r="O404" s="29">
        <f>O403/O406</f>
        <v>0</v>
      </c>
      <c r="P404" s="29">
        <f t="shared" ref="P404:R404" si="254">P403/P406</f>
        <v>0</v>
      </c>
      <c r="Q404" s="29">
        <f t="shared" si="254"/>
        <v>0.4</v>
      </c>
      <c r="R404" s="30" t="e">
        <f t="shared" si="254"/>
        <v>#DIV/0!</v>
      </c>
      <c r="S404" s="2" t="s">
        <v>6</v>
      </c>
      <c r="T404" s="1" t="s">
        <v>75</v>
      </c>
    </row>
    <row r="405" spans="1:20" ht="15" customHeight="1" x14ac:dyDescent="0.25">
      <c r="A405" s="9">
        <f>COUNTA(A411:A435)/C408</f>
        <v>0.20833333333333334</v>
      </c>
      <c r="B405" s="3" t="s">
        <v>12</v>
      </c>
      <c r="C405" s="28">
        <f>C403/$C408</f>
        <v>0</v>
      </c>
      <c r="D405" s="29">
        <f>D403/$C408</f>
        <v>0</v>
      </c>
      <c r="E405" s="29">
        <f t="shared" ref="E405:R405" si="255">E403/$C408</f>
        <v>8.3333333333333329E-2</v>
      </c>
      <c r="F405" s="29">
        <f t="shared" si="255"/>
        <v>0.875</v>
      </c>
      <c r="G405" s="29">
        <f t="shared" si="255"/>
        <v>0</v>
      </c>
      <c r="H405" s="29">
        <f t="shared" si="255"/>
        <v>0</v>
      </c>
      <c r="I405" s="29">
        <f t="shared" si="255"/>
        <v>0</v>
      </c>
      <c r="J405" s="29">
        <f t="shared" si="255"/>
        <v>0</v>
      </c>
      <c r="K405" s="29">
        <f t="shared" si="255"/>
        <v>8.3333333333333329E-2</v>
      </c>
      <c r="L405" s="29">
        <f t="shared" si="255"/>
        <v>0</v>
      </c>
      <c r="M405" s="29">
        <f t="shared" si="255"/>
        <v>0</v>
      </c>
      <c r="N405" s="29">
        <f t="shared" si="255"/>
        <v>0</v>
      </c>
      <c r="O405" s="29">
        <f t="shared" si="255"/>
        <v>0</v>
      </c>
      <c r="P405" s="29">
        <f t="shared" si="255"/>
        <v>0</v>
      </c>
      <c r="Q405" s="29">
        <f t="shared" si="255"/>
        <v>8.3333333333333329E-2</v>
      </c>
      <c r="R405" s="30">
        <f t="shared" si="255"/>
        <v>0</v>
      </c>
      <c r="S405" s="2" t="s">
        <v>76</v>
      </c>
      <c r="T405" s="1" t="s">
        <v>77</v>
      </c>
    </row>
    <row r="406" spans="1:20" ht="15" customHeight="1" x14ac:dyDescent="0.25">
      <c r="A406" s="24" t="s">
        <v>71</v>
      </c>
      <c r="B406" s="3" t="s">
        <v>8</v>
      </c>
      <c r="C406" s="6">
        <f>COUNTA(C411:C435)</f>
        <v>5</v>
      </c>
      <c r="D406" s="2">
        <f t="shared" ref="D406:H406" si="256">COUNTA(D411:D435)</f>
        <v>5</v>
      </c>
      <c r="E406" s="2">
        <f t="shared" si="256"/>
        <v>5</v>
      </c>
      <c r="F406" s="2">
        <f t="shared" si="256"/>
        <v>24</v>
      </c>
      <c r="G406" s="2">
        <f t="shared" si="256"/>
        <v>5</v>
      </c>
      <c r="H406" s="2">
        <f t="shared" si="256"/>
        <v>0</v>
      </c>
      <c r="I406" s="2">
        <f>COUNTA(I411:I435)</f>
        <v>5</v>
      </c>
      <c r="J406" s="2">
        <f t="shared" ref="J406:N406" si="257">COUNTA(J411:J435)</f>
        <v>5</v>
      </c>
      <c r="K406" s="2">
        <f t="shared" si="257"/>
        <v>5</v>
      </c>
      <c r="L406" s="2">
        <f t="shared" si="257"/>
        <v>5</v>
      </c>
      <c r="M406" s="2">
        <f t="shared" si="257"/>
        <v>5</v>
      </c>
      <c r="N406" s="2">
        <f t="shared" si="257"/>
        <v>0</v>
      </c>
      <c r="O406" s="2">
        <f>COUNTA(O411:O435)</f>
        <v>5</v>
      </c>
      <c r="P406" s="2">
        <f t="shared" ref="P406:R406" si="258">COUNTA(P411:P435)</f>
        <v>5</v>
      </c>
      <c r="Q406" s="2">
        <f t="shared" si="258"/>
        <v>5</v>
      </c>
      <c r="R406" s="11">
        <f t="shared" si="258"/>
        <v>0</v>
      </c>
      <c r="S406" s="2">
        <v>0</v>
      </c>
      <c r="T406" s="1" t="s">
        <v>78</v>
      </c>
    </row>
    <row r="407" spans="1:20" ht="15" customHeight="1" x14ac:dyDescent="0.25">
      <c r="A407" s="33" t="s">
        <v>339</v>
      </c>
      <c r="B407" s="3" t="s">
        <v>9</v>
      </c>
      <c r="C407" s="28">
        <f>C406/$C408</f>
        <v>0.20833333333333334</v>
      </c>
      <c r="D407" s="29">
        <f t="shared" ref="D407" si="259">D406/$C408</f>
        <v>0.20833333333333334</v>
      </c>
      <c r="E407" s="29">
        <f t="shared" ref="E407" si="260">E406/$C408</f>
        <v>0.20833333333333334</v>
      </c>
      <c r="F407" s="29">
        <f t="shared" ref="F407" si="261">F406/$C408</f>
        <v>1</v>
      </c>
      <c r="G407" s="29">
        <f t="shared" ref="G407" si="262">G406/$C408</f>
        <v>0.20833333333333334</v>
      </c>
      <c r="H407" s="29">
        <f t="shared" ref="H407" si="263">H406/$C408</f>
        <v>0</v>
      </c>
      <c r="I407" s="29">
        <f t="shared" ref="I407" si="264">I406/$C408</f>
        <v>0.20833333333333334</v>
      </c>
      <c r="J407" s="29">
        <f t="shared" ref="J407" si="265">J406/$C408</f>
        <v>0.20833333333333334</v>
      </c>
      <c r="K407" s="29">
        <f t="shared" ref="K407" si="266">K406/$C408</f>
        <v>0.20833333333333334</v>
      </c>
      <c r="L407" s="29">
        <f t="shared" ref="L407" si="267">L406/$C408</f>
        <v>0.20833333333333334</v>
      </c>
      <c r="M407" s="29">
        <f t="shared" ref="M407" si="268">M406/$C408</f>
        <v>0.20833333333333334</v>
      </c>
      <c r="N407" s="29">
        <f t="shared" ref="N407" si="269">N406/$C408</f>
        <v>0</v>
      </c>
      <c r="O407" s="29">
        <f t="shared" ref="O407" si="270">O406/$C408</f>
        <v>0.20833333333333334</v>
      </c>
      <c r="P407" s="29">
        <f t="shared" ref="P407" si="271">P406/$C408</f>
        <v>0.20833333333333334</v>
      </c>
      <c r="Q407" s="29">
        <f t="shared" ref="Q407" si="272">Q406/$C408</f>
        <v>0.20833333333333334</v>
      </c>
      <c r="R407" s="30">
        <f t="shared" ref="R407" si="273">R406/$C408</f>
        <v>0</v>
      </c>
      <c r="S407" s="2" t="s">
        <v>81</v>
      </c>
      <c r="T407" s="1" t="s">
        <v>82</v>
      </c>
    </row>
    <row r="408" spans="1:20" ht="15" customHeight="1" thickBot="1" x14ac:dyDescent="0.3">
      <c r="A408" s="24" t="s">
        <v>72</v>
      </c>
      <c r="B408" s="3" t="s">
        <v>7</v>
      </c>
      <c r="C408" s="7">
        <f>COUNTA($B411:$B435)</f>
        <v>24</v>
      </c>
      <c r="D408" s="8"/>
      <c r="E408" s="8"/>
      <c r="F408" s="8"/>
      <c r="G408" s="8"/>
      <c r="H408" s="31"/>
      <c r="I408" s="8"/>
      <c r="J408" s="8"/>
      <c r="K408" s="8"/>
      <c r="L408" s="8"/>
      <c r="M408" s="8"/>
      <c r="N408" s="31"/>
      <c r="O408" s="8"/>
      <c r="P408" s="8"/>
      <c r="Q408" s="8"/>
      <c r="R408" s="18"/>
      <c r="S408" s="2" t="s">
        <v>134</v>
      </c>
      <c r="T408" s="1" t="s">
        <v>135</v>
      </c>
    </row>
    <row r="409" spans="1:20" ht="15" customHeight="1" thickBot="1" x14ac:dyDescent="0.3">
      <c r="A409" s="33" t="s">
        <v>340</v>
      </c>
      <c r="C409" s="35" t="s">
        <v>15</v>
      </c>
      <c r="D409" s="36"/>
      <c r="E409" s="36"/>
      <c r="F409" s="36"/>
      <c r="G409" s="36"/>
      <c r="H409" s="36"/>
      <c r="I409" s="36" t="s">
        <v>13</v>
      </c>
      <c r="J409" s="36"/>
      <c r="K409" s="36"/>
      <c r="L409" s="36"/>
      <c r="M409" s="36"/>
      <c r="N409" s="36"/>
      <c r="O409" s="36" t="s">
        <v>14</v>
      </c>
      <c r="P409" s="36"/>
      <c r="Q409" s="36"/>
      <c r="R409" s="37"/>
    </row>
    <row r="410" spans="1:20" ht="28" customHeight="1" thickBot="1" x14ac:dyDescent="0.3">
      <c r="A410" s="19" t="s">
        <v>1</v>
      </c>
      <c r="B410" s="20" t="s">
        <v>0</v>
      </c>
      <c r="C410" s="12" t="s">
        <v>2</v>
      </c>
      <c r="D410" s="13" t="s">
        <v>3</v>
      </c>
      <c r="E410" s="13" t="s">
        <v>4</v>
      </c>
      <c r="F410" s="21" t="s">
        <v>84</v>
      </c>
      <c r="G410" s="21" t="s">
        <v>34</v>
      </c>
      <c r="H410" s="13" t="s">
        <v>5</v>
      </c>
      <c r="I410" s="13" t="s">
        <v>2</v>
      </c>
      <c r="J410" s="13" t="s">
        <v>3</v>
      </c>
      <c r="K410" s="13" t="s">
        <v>4</v>
      </c>
      <c r="L410" s="21" t="s">
        <v>83</v>
      </c>
      <c r="M410" s="21" t="s">
        <v>34</v>
      </c>
      <c r="N410" s="13" t="s">
        <v>5</v>
      </c>
      <c r="O410" s="13" t="s">
        <v>2</v>
      </c>
      <c r="P410" s="13" t="s">
        <v>3</v>
      </c>
      <c r="Q410" s="13" t="s">
        <v>4</v>
      </c>
      <c r="R410" s="14" t="s">
        <v>5</v>
      </c>
    </row>
    <row r="411" spans="1:20" ht="15" customHeight="1" x14ac:dyDescent="0.25">
      <c r="A411" s="15"/>
      <c r="B411" s="16" t="s">
        <v>342</v>
      </c>
      <c r="C411" s="6"/>
      <c r="F411" s="2" t="s">
        <v>6</v>
      </c>
      <c r="H411" s="22"/>
      <c r="I411" s="6"/>
      <c r="N411" s="22"/>
      <c r="O411" s="6"/>
      <c r="R411" s="22"/>
    </row>
    <row r="412" spans="1:20" ht="15" customHeight="1" x14ac:dyDescent="0.25">
      <c r="A412" s="15" t="s">
        <v>341</v>
      </c>
      <c r="B412" s="16" t="s">
        <v>343</v>
      </c>
      <c r="C412" s="6">
        <v>0</v>
      </c>
      <c r="D412" s="2">
        <v>0</v>
      </c>
      <c r="E412" s="2">
        <v>0</v>
      </c>
      <c r="F412" s="2">
        <v>0</v>
      </c>
      <c r="G412" s="2">
        <v>0</v>
      </c>
      <c r="H412" s="22"/>
      <c r="I412" s="6">
        <v>0</v>
      </c>
      <c r="J412" s="2">
        <v>0</v>
      </c>
      <c r="K412" s="2">
        <v>0</v>
      </c>
      <c r="L412" s="2" t="s">
        <v>81</v>
      </c>
      <c r="M412" s="2">
        <v>0</v>
      </c>
      <c r="N412" s="22"/>
      <c r="O412" s="6">
        <v>0</v>
      </c>
      <c r="P412" s="2">
        <v>0</v>
      </c>
      <c r="Q412" s="2">
        <v>0</v>
      </c>
      <c r="R412" s="22"/>
    </row>
    <row r="413" spans="1:20" ht="15" customHeight="1" x14ac:dyDescent="0.25">
      <c r="A413" s="15"/>
      <c r="B413" s="16" t="s">
        <v>344</v>
      </c>
      <c r="C413" s="6"/>
      <c r="F413" s="2" t="s">
        <v>6</v>
      </c>
      <c r="H413" s="22"/>
      <c r="I413" s="6"/>
      <c r="N413" s="22"/>
      <c r="O413" s="6"/>
      <c r="R413" s="22"/>
    </row>
    <row r="414" spans="1:20" ht="15" customHeight="1" x14ac:dyDescent="0.25">
      <c r="A414" s="15"/>
      <c r="B414" s="16" t="s">
        <v>345</v>
      </c>
      <c r="C414" s="6"/>
      <c r="F414" s="2" t="s">
        <v>6</v>
      </c>
      <c r="H414" s="22"/>
      <c r="I414" s="6"/>
      <c r="N414" s="22"/>
      <c r="O414" s="6"/>
      <c r="R414" s="22"/>
    </row>
    <row r="415" spans="1:20" ht="15" customHeight="1" x14ac:dyDescent="0.25">
      <c r="A415" s="15"/>
      <c r="B415" s="16" t="s">
        <v>346</v>
      </c>
      <c r="C415" s="6"/>
      <c r="F415" s="2" t="s">
        <v>6</v>
      </c>
      <c r="H415" s="22"/>
      <c r="I415" s="6"/>
      <c r="N415" s="22"/>
      <c r="O415" s="6"/>
      <c r="R415" s="22"/>
    </row>
    <row r="416" spans="1:20" ht="15" customHeight="1" x14ac:dyDescent="0.25">
      <c r="A416" s="15"/>
      <c r="B416" s="16" t="s">
        <v>347</v>
      </c>
      <c r="C416" s="6"/>
      <c r="F416" s="2" t="s">
        <v>6</v>
      </c>
      <c r="H416" s="22"/>
      <c r="I416" s="6"/>
      <c r="N416" s="22"/>
      <c r="O416" s="6"/>
      <c r="R416" s="22"/>
    </row>
    <row r="417" spans="1:19" ht="15" customHeight="1" x14ac:dyDescent="0.25">
      <c r="A417" s="15"/>
      <c r="B417" s="16" t="s">
        <v>348</v>
      </c>
      <c r="C417" s="6"/>
      <c r="F417" s="2" t="s">
        <v>6</v>
      </c>
      <c r="H417" s="22"/>
      <c r="I417" s="6"/>
      <c r="N417" s="22"/>
      <c r="O417" s="6"/>
      <c r="R417" s="22"/>
    </row>
    <row r="418" spans="1:19" ht="15" customHeight="1" x14ac:dyDescent="0.25">
      <c r="A418" s="15"/>
      <c r="B418" s="16" t="s">
        <v>349</v>
      </c>
      <c r="C418" s="6"/>
      <c r="F418" s="2" t="s">
        <v>6</v>
      </c>
      <c r="H418" s="22"/>
      <c r="I418" s="6"/>
      <c r="N418" s="22"/>
      <c r="O418" s="6"/>
      <c r="R418" s="22"/>
    </row>
    <row r="419" spans="1:19" ht="15" customHeight="1" x14ac:dyDescent="0.25">
      <c r="A419" s="15"/>
      <c r="B419" s="16" t="s">
        <v>350</v>
      </c>
      <c r="C419" s="6"/>
      <c r="F419" s="2" t="s">
        <v>6</v>
      </c>
      <c r="H419" s="22"/>
      <c r="I419" s="6"/>
      <c r="N419" s="22"/>
      <c r="O419" s="6"/>
      <c r="R419" s="22"/>
    </row>
    <row r="420" spans="1:19" ht="15" customHeight="1" x14ac:dyDescent="0.25">
      <c r="A420" s="15" t="s">
        <v>341</v>
      </c>
      <c r="B420" s="16" t="s">
        <v>351</v>
      </c>
      <c r="C420" s="6">
        <v>0</v>
      </c>
      <c r="D420" s="2">
        <v>0</v>
      </c>
      <c r="E420" s="2" t="s">
        <v>6</v>
      </c>
      <c r="F420" s="2">
        <v>0</v>
      </c>
      <c r="G420" s="2">
        <v>0</v>
      </c>
      <c r="H420" s="22"/>
      <c r="I420" s="6">
        <v>0</v>
      </c>
      <c r="J420" s="2">
        <v>0</v>
      </c>
      <c r="K420" s="2" t="s">
        <v>6</v>
      </c>
      <c r="L420" s="2">
        <v>0</v>
      </c>
      <c r="M420" s="2" t="s">
        <v>235</v>
      </c>
      <c r="N420" s="22"/>
      <c r="O420" s="6">
        <v>0</v>
      </c>
      <c r="P420" s="2">
        <v>0</v>
      </c>
      <c r="Q420" s="2" t="s">
        <v>6</v>
      </c>
      <c r="R420" s="22"/>
    </row>
    <row r="421" spans="1:19" ht="15" customHeight="1" x14ac:dyDescent="0.25">
      <c r="A421" s="15"/>
      <c r="B421" s="16" t="s">
        <v>352</v>
      </c>
      <c r="C421" s="6"/>
      <c r="F421" s="2" t="s">
        <v>6</v>
      </c>
      <c r="H421" s="22"/>
      <c r="I421" s="6"/>
      <c r="N421" s="22"/>
      <c r="O421" s="6"/>
      <c r="R421" s="22"/>
      <c r="S421" s="27"/>
    </row>
    <row r="422" spans="1:19" ht="15" customHeight="1" x14ac:dyDescent="0.25">
      <c r="A422" s="15"/>
      <c r="B422" s="16" t="s">
        <v>353</v>
      </c>
      <c r="C422" s="6"/>
      <c r="F422" s="2" t="s">
        <v>6</v>
      </c>
      <c r="H422" s="22"/>
      <c r="I422" s="6"/>
      <c r="N422" s="22"/>
      <c r="O422" s="6"/>
      <c r="R422" s="22"/>
    </row>
    <row r="423" spans="1:19" ht="15" customHeight="1" x14ac:dyDescent="0.25">
      <c r="A423" s="15"/>
      <c r="B423" s="16" t="s">
        <v>354</v>
      </c>
      <c r="C423" s="6"/>
      <c r="F423" s="2" t="s">
        <v>6</v>
      </c>
      <c r="H423" s="22"/>
      <c r="I423" s="6"/>
      <c r="N423" s="22"/>
      <c r="O423" s="6"/>
      <c r="R423" s="22"/>
    </row>
    <row r="424" spans="1:19" ht="15" customHeight="1" x14ac:dyDescent="0.25">
      <c r="A424" s="15"/>
      <c r="B424" s="16" t="s">
        <v>355</v>
      </c>
      <c r="C424" s="6"/>
      <c r="F424" s="2" t="s">
        <v>6</v>
      </c>
      <c r="H424" s="22"/>
      <c r="I424" s="6"/>
      <c r="N424" s="22"/>
      <c r="O424" s="6"/>
      <c r="R424" s="22"/>
    </row>
    <row r="425" spans="1:19" ht="15" customHeight="1" x14ac:dyDescent="0.25">
      <c r="A425" s="15"/>
      <c r="B425" s="16" t="s">
        <v>356</v>
      </c>
      <c r="C425" s="6"/>
      <c r="F425" s="2" t="s">
        <v>6</v>
      </c>
      <c r="H425" s="22"/>
      <c r="I425" s="6"/>
      <c r="N425" s="22"/>
      <c r="O425" s="6"/>
      <c r="R425" s="22"/>
    </row>
    <row r="426" spans="1:19" ht="15" customHeight="1" x14ac:dyDescent="0.25">
      <c r="A426" s="15"/>
      <c r="B426" s="16" t="s">
        <v>357</v>
      </c>
      <c r="C426" s="6"/>
      <c r="F426" s="2" t="s">
        <v>6</v>
      </c>
      <c r="H426" s="22"/>
      <c r="I426" s="6"/>
      <c r="N426" s="22"/>
      <c r="O426" s="6"/>
      <c r="R426" s="22"/>
    </row>
    <row r="427" spans="1:19" ht="15" customHeight="1" x14ac:dyDescent="0.25">
      <c r="A427" s="15"/>
      <c r="B427" s="16" t="s">
        <v>358</v>
      </c>
      <c r="C427" s="6"/>
      <c r="F427" s="2" t="s">
        <v>6</v>
      </c>
      <c r="H427" s="22"/>
      <c r="I427" s="6"/>
      <c r="N427" s="22"/>
      <c r="O427" s="6"/>
      <c r="R427" s="22"/>
      <c r="S427" s="27"/>
    </row>
    <row r="428" spans="1:19" ht="15" customHeight="1" x14ac:dyDescent="0.25">
      <c r="A428" s="15"/>
      <c r="B428" s="16" t="s">
        <v>359</v>
      </c>
      <c r="C428" s="6"/>
      <c r="F428" s="2" t="s">
        <v>6</v>
      </c>
      <c r="H428" s="22"/>
      <c r="I428" s="6"/>
      <c r="N428" s="22"/>
      <c r="O428" s="6"/>
      <c r="R428" s="22"/>
    </row>
    <row r="429" spans="1:19" ht="15" customHeight="1" x14ac:dyDescent="0.25">
      <c r="A429" s="15" t="s">
        <v>341</v>
      </c>
      <c r="B429" s="16" t="s">
        <v>360</v>
      </c>
      <c r="C429" s="6">
        <v>0</v>
      </c>
      <c r="D429" s="2">
        <v>0</v>
      </c>
      <c r="E429" s="2" t="s">
        <v>6</v>
      </c>
      <c r="F429" s="2" t="s">
        <v>6</v>
      </c>
      <c r="G429" s="2">
        <v>0</v>
      </c>
      <c r="H429" s="22"/>
      <c r="I429" s="6">
        <v>0</v>
      </c>
      <c r="J429" s="2">
        <v>0</v>
      </c>
      <c r="K429" s="2" t="s">
        <v>6</v>
      </c>
      <c r="L429" s="2">
        <v>0</v>
      </c>
      <c r="M429" s="2" t="s">
        <v>235</v>
      </c>
      <c r="N429" s="22"/>
      <c r="O429" s="6">
        <v>0</v>
      </c>
      <c r="P429" s="2">
        <v>0</v>
      </c>
      <c r="Q429" s="2" t="s">
        <v>6</v>
      </c>
      <c r="R429" s="22"/>
    </row>
    <row r="430" spans="1:19" ht="15" customHeight="1" x14ac:dyDescent="0.25">
      <c r="A430" s="15"/>
      <c r="B430" s="16" t="s">
        <v>361</v>
      </c>
      <c r="C430" s="6"/>
      <c r="F430" s="2" t="s">
        <v>6</v>
      </c>
      <c r="H430" s="22"/>
      <c r="I430" s="6"/>
      <c r="N430" s="22"/>
      <c r="O430" s="6"/>
      <c r="R430" s="22"/>
    </row>
    <row r="431" spans="1:19" ht="15" customHeight="1" x14ac:dyDescent="0.25">
      <c r="A431" s="15" t="s">
        <v>341</v>
      </c>
      <c r="B431" s="16" t="s">
        <v>362</v>
      </c>
      <c r="C431" s="6">
        <v>0</v>
      </c>
      <c r="D431" s="2">
        <v>0</v>
      </c>
      <c r="E431" s="2">
        <v>0</v>
      </c>
      <c r="F431" s="2" t="s">
        <v>104</v>
      </c>
      <c r="G431" s="34">
        <v>0</v>
      </c>
      <c r="H431" s="22"/>
      <c r="I431" s="6">
        <v>0</v>
      </c>
      <c r="J431" s="2">
        <v>0</v>
      </c>
      <c r="K431" s="2">
        <v>0</v>
      </c>
      <c r="L431" s="2" t="s">
        <v>81</v>
      </c>
      <c r="M431" s="2">
        <v>0</v>
      </c>
      <c r="N431" s="22"/>
      <c r="O431" s="6">
        <v>0</v>
      </c>
      <c r="P431" s="2">
        <v>0</v>
      </c>
      <c r="Q431" s="2">
        <v>0</v>
      </c>
      <c r="R431" s="22"/>
      <c r="S431" s="27"/>
    </row>
    <row r="432" spans="1:19" ht="15" customHeight="1" x14ac:dyDescent="0.25">
      <c r="A432" s="15" t="s">
        <v>341</v>
      </c>
      <c r="B432" s="16" t="s">
        <v>363</v>
      </c>
      <c r="C432" s="6">
        <v>0</v>
      </c>
      <c r="D432" s="2">
        <v>0</v>
      </c>
      <c r="E432" s="2">
        <v>0</v>
      </c>
      <c r="F432" s="2" t="s">
        <v>6</v>
      </c>
      <c r="G432" s="2">
        <v>0</v>
      </c>
      <c r="H432" s="22"/>
      <c r="I432" s="6">
        <v>0</v>
      </c>
      <c r="J432" s="2">
        <v>0</v>
      </c>
      <c r="K432" s="2">
        <v>0</v>
      </c>
      <c r="L432" s="2" t="s">
        <v>81</v>
      </c>
      <c r="M432" s="2">
        <v>0</v>
      </c>
      <c r="N432" s="22"/>
      <c r="O432" s="6">
        <v>0</v>
      </c>
      <c r="P432" s="2">
        <v>0</v>
      </c>
      <c r="Q432" s="2">
        <v>0</v>
      </c>
      <c r="R432" s="22"/>
    </row>
    <row r="433" spans="1:20" ht="15" customHeight="1" x14ac:dyDescent="0.25">
      <c r="A433" s="15"/>
      <c r="B433" s="16" t="s">
        <v>364</v>
      </c>
      <c r="C433" s="6"/>
      <c r="F433" s="2" t="s">
        <v>6</v>
      </c>
      <c r="H433" s="22"/>
      <c r="I433" s="6"/>
      <c r="N433" s="22"/>
      <c r="O433" s="6"/>
      <c r="R433" s="22"/>
    </row>
    <row r="434" spans="1:20" ht="15" customHeight="1" x14ac:dyDescent="0.25">
      <c r="A434" s="15"/>
      <c r="B434" s="16" t="s">
        <v>365</v>
      </c>
      <c r="C434" s="6"/>
      <c r="F434" s="2" t="s">
        <v>6</v>
      </c>
      <c r="H434" s="22"/>
      <c r="I434" s="6"/>
      <c r="N434" s="22"/>
      <c r="O434" s="6"/>
      <c r="R434" s="22"/>
    </row>
    <row r="435" spans="1:20" ht="15" customHeight="1" thickBot="1" x14ac:dyDescent="0.3">
      <c r="A435" s="17"/>
      <c r="B435" s="18"/>
      <c r="C435" s="7"/>
      <c r="D435" s="8"/>
      <c r="E435" s="8"/>
      <c r="F435" s="8"/>
      <c r="G435" s="8"/>
      <c r="H435" s="23"/>
      <c r="I435" s="7"/>
      <c r="J435" s="8"/>
      <c r="K435" s="8"/>
      <c r="L435" s="8"/>
      <c r="M435" s="8"/>
      <c r="N435" s="23"/>
      <c r="O435" s="7"/>
      <c r="P435" s="8"/>
      <c r="Q435" s="8"/>
      <c r="R435" s="23"/>
    </row>
    <row r="436" spans="1:20" ht="15" customHeight="1" thickBot="1" x14ac:dyDescent="0.3"/>
    <row r="437" spans="1:20" ht="15" customHeight="1" x14ac:dyDescent="0.25">
      <c r="A437" s="2"/>
      <c r="B437" s="3" t="s">
        <v>10</v>
      </c>
      <c r="C437" s="4">
        <f>COUNTIF(C445:C469,"A")</f>
        <v>0</v>
      </c>
      <c r="D437" s="5">
        <f t="shared" ref="D437:H437" si="274">COUNTIF(D445:D469,"A")</f>
        <v>0</v>
      </c>
      <c r="E437" s="5">
        <f t="shared" si="274"/>
        <v>1</v>
      </c>
      <c r="F437" s="5">
        <f t="shared" si="274"/>
        <v>24</v>
      </c>
      <c r="G437" s="5">
        <f t="shared" si="274"/>
        <v>0</v>
      </c>
      <c r="H437" s="5">
        <f t="shared" si="274"/>
        <v>0</v>
      </c>
      <c r="I437" s="5">
        <f>COUNTIF(I445:I469,"A")</f>
        <v>0</v>
      </c>
      <c r="J437" s="5">
        <f t="shared" ref="J437:N437" si="275">COUNTIF(J445:J469,"A")</f>
        <v>0</v>
      </c>
      <c r="K437" s="5">
        <f t="shared" si="275"/>
        <v>1</v>
      </c>
      <c r="L437" s="5">
        <f t="shared" si="275"/>
        <v>0</v>
      </c>
      <c r="M437" s="5">
        <f t="shared" si="275"/>
        <v>0</v>
      </c>
      <c r="N437" s="5">
        <f t="shared" si="275"/>
        <v>0</v>
      </c>
      <c r="O437" s="5">
        <f>COUNTIF(O445:O469,"A")</f>
        <v>0</v>
      </c>
      <c r="P437" s="5">
        <f t="shared" ref="P437:R437" si="276">COUNTIF(P445:P469,"A")</f>
        <v>0</v>
      </c>
      <c r="Q437" s="5">
        <f t="shared" si="276"/>
        <v>1</v>
      </c>
      <c r="R437" s="10">
        <f t="shared" si="276"/>
        <v>0</v>
      </c>
      <c r="S437" s="26" t="s">
        <v>74</v>
      </c>
    </row>
    <row r="438" spans="1:20" ht="15" customHeight="1" x14ac:dyDescent="0.25">
      <c r="A438" s="25" t="s">
        <v>52</v>
      </c>
      <c r="B438" s="3" t="s">
        <v>11</v>
      </c>
      <c r="C438" s="28">
        <f>C437/C440</f>
        <v>0</v>
      </c>
      <c r="D438" s="29">
        <f t="shared" ref="D438:H438" si="277">D437/D440</f>
        <v>0</v>
      </c>
      <c r="E438" s="29">
        <f t="shared" si="277"/>
        <v>0.5</v>
      </c>
      <c r="F438" s="29">
        <f t="shared" si="277"/>
        <v>1</v>
      </c>
      <c r="G438" s="29">
        <f t="shared" si="277"/>
        <v>0</v>
      </c>
      <c r="H438" s="29" t="e">
        <f t="shared" si="277"/>
        <v>#DIV/0!</v>
      </c>
      <c r="I438" s="29">
        <f>I437/I440</f>
        <v>0</v>
      </c>
      <c r="J438" s="29">
        <f t="shared" ref="J438:N438" si="278">J437/J440</f>
        <v>0</v>
      </c>
      <c r="K438" s="29">
        <f t="shared" si="278"/>
        <v>0.5</v>
      </c>
      <c r="L438" s="29">
        <f t="shared" si="278"/>
        <v>0</v>
      </c>
      <c r="M438" s="29">
        <f t="shared" si="278"/>
        <v>0</v>
      </c>
      <c r="N438" s="29" t="e">
        <f t="shared" si="278"/>
        <v>#DIV/0!</v>
      </c>
      <c r="O438" s="29">
        <f>O437/O440</f>
        <v>0</v>
      </c>
      <c r="P438" s="29">
        <f t="shared" ref="P438:R438" si="279">P437/P440</f>
        <v>0</v>
      </c>
      <c r="Q438" s="29">
        <f t="shared" si="279"/>
        <v>0.5</v>
      </c>
      <c r="R438" s="30" t="e">
        <f t="shared" si="279"/>
        <v>#DIV/0!</v>
      </c>
      <c r="S438" s="2" t="s">
        <v>6</v>
      </c>
      <c r="T438" s="1" t="s">
        <v>75</v>
      </c>
    </row>
    <row r="439" spans="1:20" ht="15" customHeight="1" x14ac:dyDescent="0.25">
      <c r="A439" s="9">
        <f>COUNTA(A445:A469)/C442</f>
        <v>0.1875</v>
      </c>
      <c r="B439" s="3" t="s">
        <v>12</v>
      </c>
      <c r="C439" s="28">
        <f>C437/$C442</f>
        <v>0</v>
      </c>
      <c r="D439" s="29">
        <f>D437/$C442</f>
        <v>0</v>
      </c>
      <c r="E439" s="29">
        <f t="shared" ref="E439:R439" si="280">E437/$C442</f>
        <v>6.25E-2</v>
      </c>
      <c r="F439" s="29">
        <f t="shared" si="280"/>
        <v>1.5</v>
      </c>
      <c r="G439" s="29">
        <f t="shared" si="280"/>
        <v>0</v>
      </c>
      <c r="H439" s="29">
        <f t="shared" si="280"/>
        <v>0</v>
      </c>
      <c r="I439" s="29">
        <f t="shared" si="280"/>
        <v>0</v>
      </c>
      <c r="J439" s="29">
        <f t="shared" si="280"/>
        <v>0</v>
      </c>
      <c r="K439" s="29">
        <f t="shared" si="280"/>
        <v>6.25E-2</v>
      </c>
      <c r="L439" s="29">
        <f t="shared" si="280"/>
        <v>0</v>
      </c>
      <c r="M439" s="29">
        <f t="shared" si="280"/>
        <v>0</v>
      </c>
      <c r="N439" s="29">
        <f t="shared" si="280"/>
        <v>0</v>
      </c>
      <c r="O439" s="29">
        <f t="shared" si="280"/>
        <v>0</v>
      </c>
      <c r="P439" s="29">
        <f t="shared" si="280"/>
        <v>0</v>
      </c>
      <c r="Q439" s="29">
        <f t="shared" si="280"/>
        <v>6.25E-2</v>
      </c>
      <c r="R439" s="30">
        <f t="shared" si="280"/>
        <v>0</v>
      </c>
      <c r="S439" s="2" t="s">
        <v>76</v>
      </c>
      <c r="T439" s="1" t="s">
        <v>77</v>
      </c>
    </row>
    <row r="440" spans="1:20" ht="15" customHeight="1" x14ac:dyDescent="0.25">
      <c r="A440" s="24" t="s">
        <v>71</v>
      </c>
      <c r="B440" s="3" t="s">
        <v>8</v>
      </c>
      <c r="C440" s="6">
        <f>COUNTA(C445:C469)</f>
        <v>2</v>
      </c>
      <c r="D440" s="2">
        <f t="shared" ref="D440:H440" si="281">COUNTA(D445:D469)</f>
        <v>2</v>
      </c>
      <c r="E440" s="2">
        <f t="shared" si="281"/>
        <v>2</v>
      </c>
      <c r="F440" s="2">
        <f t="shared" si="281"/>
        <v>24</v>
      </c>
      <c r="G440" s="2">
        <f t="shared" si="281"/>
        <v>2</v>
      </c>
      <c r="H440" s="2">
        <f t="shared" si="281"/>
        <v>0</v>
      </c>
      <c r="I440" s="2">
        <f>COUNTA(I445:I469)</f>
        <v>2</v>
      </c>
      <c r="J440" s="2">
        <f t="shared" ref="J440:N440" si="282">COUNTA(J445:J469)</f>
        <v>2</v>
      </c>
      <c r="K440" s="2">
        <f t="shared" si="282"/>
        <v>2</v>
      </c>
      <c r="L440" s="2">
        <f t="shared" si="282"/>
        <v>3</v>
      </c>
      <c r="M440" s="2">
        <f t="shared" si="282"/>
        <v>2</v>
      </c>
      <c r="N440" s="2">
        <f t="shared" si="282"/>
        <v>0</v>
      </c>
      <c r="O440" s="2">
        <f>COUNTA(O445:O469)</f>
        <v>2</v>
      </c>
      <c r="P440" s="2">
        <f t="shared" ref="P440:R440" si="283">COUNTA(P445:P469)</f>
        <v>2</v>
      </c>
      <c r="Q440" s="2">
        <f t="shared" si="283"/>
        <v>2</v>
      </c>
      <c r="R440" s="11">
        <f t="shared" si="283"/>
        <v>0</v>
      </c>
      <c r="S440" s="2">
        <v>0</v>
      </c>
      <c r="T440" s="1" t="s">
        <v>78</v>
      </c>
    </row>
    <row r="441" spans="1:20" ht="15" customHeight="1" x14ac:dyDescent="0.25">
      <c r="A441" s="33" t="s">
        <v>366</v>
      </c>
      <c r="B441" s="3" t="s">
        <v>9</v>
      </c>
      <c r="C441" s="28">
        <f>C440/$C442</f>
        <v>0.125</v>
      </c>
      <c r="D441" s="29">
        <f t="shared" ref="D441" si="284">D440/$C442</f>
        <v>0.125</v>
      </c>
      <c r="E441" s="29">
        <f t="shared" ref="E441" si="285">E440/$C442</f>
        <v>0.125</v>
      </c>
      <c r="F441" s="29">
        <f t="shared" ref="F441" si="286">F440/$C442</f>
        <v>1.5</v>
      </c>
      <c r="G441" s="29">
        <f t="shared" ref="G441" si="287">G440/$C442</f>
        <v>0.125</v>
      </c>
      <c r="H441" s="29">
        <f t="shared" ref="H441" si="288">H440/$C442</f>
        <v>0</v>
      </c>
      <c r="I441" s="29">
        <f t="shared" ref="I441" si="289">I440/$C442</f>
        <v>0.125</v>
      </c>
      <c r="J441" s="29">
        <f t="shared" ref="J441" si="290">J440/$C442</f>
        <v>0.125</v>
      </c>
      <c r="K441" s="29">
        <f t="shared" ref="K441" si="291">K440/$C442</f>
        <v>0.125</v>
      </c>
      <c r="L441" s="29">
        <f t="shared" ref="L441" si="292">L440/$C442</f>
        <v>0.1875</v>
      </c>
      <c r="M441" s="29">
        <f t="shared" ref="M441" si="293">M440/$C442</f>
        <v>0.125</v>
      </c>
      <c r="N441" s="29">
        <f t="shared" ref="N441" si="294">N440/$C442</f>
        <v>0</v>
      </c>
      <c r="O441" s="29">
        <f t="shared" ref="O441" si="295">O440/$C442</f>
        <v>0.125</v>
      </c>
      <c r="P441" s="29">
        <f t="shared" ref="P441" si="296">P440/$C442</f>
        <v>0.125</v>
      </c>
      <c r="Q441" s="29">
        <f t="shared" ref="Q441" si="297">Q440/$C442</f>
        <v>0.125</v>
      </c>
      <c r="R441" s="30">
        <f t="shared" ref="R441" si="298">R440/$C442</f>
        <v>0</v>
      </c>
      <c r="S441" s="2" t="s">
        <v>81</v>
      </c>
      <c r="T441" s="1" t="s">
        <v>82</v>
      </c>
    </row>
    <row r="442" spans="1:20" ht="15" customHeight="1" thickBot="1" x14ac:dyDescent="0.3">
      <c r="A442" s="24" t="s">
        <v>72</v>
      </c>
      <c r="B442" s="3" t="s">
        <v>7</v>
      </c>
      <c r="C442" s="7">
        <f>COUNTA($B445:$B469)</f>
        <v>16</v>
      </c>
      <c r="D442" s="8"/>
      <c r="E442" s="8"/>
      <c r="F442" s="8"/>
      <c r="G442" s="8"/>
      <c r="H442" s="31"/>
      <c r="I442" s="8"/>
      <c r="J442" s="8"/>
      <c r="K442" s="8"/>
      <c r="L442" s="8"/>
      <c r="M442" s="8"/>
      <c r="N442" s="31"/>
      <c r="O442" s="8"/>
      <c r="P442" s="8"/>
      <c r="Q442" s="8"/>
      <c r="R442" s="18"/>
      <c r="S442" s="2" t="s">
        <v>134</v>
      </c>
      <c r="T442" s="1" t="s">
        <v>135</v>
      </c>
    </row>
    <row r="443" spans="1:20" ht="15" customHeight="1" thickBot="1" x14ac:dyDescent="0.3">
      <c r="A443" s="33" t="s">
        <v>368</v>
      </c>
      <c r="C443" s="35" t="s">
        <v>15</v>
      </c>
      <c r="D443" s="36"/>
      <c r="E443" s="36"/>
      <c r="F443" s="36"/>
      <c r="G443" s="36"/>
      <c r="H443" s="36"/>
      <c r="I443" s="36" t="s">
        <v>13</v>
      </c>
      <c r="J443" s="36"/>
      <c r="K443" s="36"/>
      <c r="L443" s="36"/>
      <c r="M443" s="36"/>
      <c r="N443" s="36"/>
      <c r="O443" s="36" t="s">
        <v>14</v>
      </c>
      <c r="P443" s="36"/>
      <c r="Q443" s="36"/>
      <c r="R443" s="37"/>
    </row>
    <row r="444" spans="1:20" ht="28" customHeight="1" thickBot="1" x14ac:dyDescent="0.3">
      <c r="A444" s="19" t="s">
        <v>1</v>
      </c>
      <c r="B444" s="20" t="s">
        <v>0</v>
      </c>
      <c r="C444" s="12" t="s">
        <v>2</v>
      </c>
      <c r="D444" s="13" t="s">
        <v>3</v>
      </c>
      <c r="E444" s="13" t="s">
        <v>4</v>
      </c>
      <c r="F444" s="21" t="s">
        <v>84</v>
      </c>
      <c r="G444" s="21" t="s">
        <v>34</v>
      </c>
      <c r="H444" s="13" t="s">
        <v>5</v>
      </c>
      <c r="I444" s="13" t="s">
        <v>2</v>
      </c>
      <c r="J444" s="13" t="s">
        <v>3</v>
      </c>
      <c r="K444" s="13" t="s">
        <v>4</v>
      </c>
      <c r="L444" s="21" t="s">
        <v>83</v>
      </c>
      <c r="M444" s="21" t="s">
        <v>34</v>
      </c>
      <c r="N444" s="13" t="s">
        <v>5</v>
      </c>
      <c r="O444" s="13" t="s">
        <v>2</v>
      </c>
      <c r="P444" s="13" t="s">
        <v>3</v>
      </c>
      <c r="Q444" s="13" t="s">
        <v>4</v>
      </c>
      <c r="R444" s="14" t="s">
        <v>5</v>
      </c>
    </row>
    <row r="445" spans="1:20" ht="15" customHeight="1" x14ac:dyDescent="0.25">
      <c r="A445" s="15"/>
      <c r="B445" s="16" t="s">
        <v>369</v>
      </c>
      <c r="C445" s="6"/>
      <c r="F445" s="2" t="s">
        <v>6</v>
      </c>
      <c r="H445" s="22"/>
      <c r="I445" s="6"/>
      <c r="N445" s="22"/>
      <c r="O445" s="6"/>
      <c r="R445" s="22"/>
    </row>
    <row r="446" spans="1:20" ht="15" customHeight="1" x14ac:dyDescent="0.25">
      <c r="A446" s="15"/>
      <c r="B446" s="16" t="s">
        <v>370</v>
      </c>
      <c r="C446" s="6"/>
      <c r="F446" s="2" t="s">
        <v>6</v>
      </c>
      <c r="H446" s="22"/>
      <c r="I446" s="6"/>
      <c r="N446" s="22"/>
      <c r="O446" s="6"/>
      <c r="R446" s="22"/>
    </row>
    <row r="447" spans="1:20" ht="15" customHeight="1" x14ac:dyDescent="0.25">
      <c r="A447" s="15" t="s">
        <v>367</v>
      </c>
      <c r="B447" s="16" t="s">
        <v>371</v>
      </c>
      <c r="C447" s="6">
        <v>0</v>
      </c>
      <c r="D447" s="2">
        <v>0</v>
      </c>
      <c r="E447" s="2">
        <v>0</v>
      </c>
      <c r="F447" s="2" t="s">
        <v>6</v>
      </c>
      <c r="G447" s="2">
        <v>0</v>
      </c>
      <c r="H447" s="22"/>
      <c r="I447" s="6">
        <v>0</v>
      </c>
      <c r="J447" s="2">
        <v>0</v>
      </c>
      <c r="K447" s="2">
        <v>0</v>
      </c>
      <c r="L447" s="2" t="s">
        <v>81</v>
      </c>
      <c r="M447" s="2">
        <v>0</v>
      </c>
      <c r="N447" s="22"/>
      <c r="O447" s="6">
        <v>0</v>
      </c>
      <c r="P447" s="2">
        <v>0</v>
      </c>
      <c r="Q447" s="2">
        <v>0</v>
      </c>
      <c r="R447" s="22"/>
    </row>
    <row r="448" spans="1:20" ht="15" customHeight="1" x14ac:dyDescent="0.25">
      <c r="A448" s="15"/>
      <c r="B448" s="16" t="s">
        <v>372</v>
      </c>
      <c r="C448" s="6"/>
      <c r="F448" s="2" t="s">
        <v>6</v>
      </c>
      <c r="H448" s="22"/>
      <c r="I448" s="6"/>
      <c r="N448" s="22"/>
      <c r="O448" s="6"/>
      <c r="R448" s="22"/>
    </row>
    <row r="449" spans="1:19" ht="15" customHeight="1" x14ac:dyDescent="0.25">
      <c r="A449" s="15"/>
      <c r="B449" s="16" t="s">
        <v>373</v>
      </c>
      <c r="C449" s="6"/>
      <c r="F449" s="2" t="s">
        <v>6</v>
      </c>
      <c r="H449" s="22"/>
      <c r="I449" s="6"/>
      <c r="N449" s="22"/>
      <c r="O449" s="6"/>
      <c r="R449" s="22"/>
    </row>
    <row r="450" spans="1:19" ht="15" customHeight="1" x14ac:dyDescent="0.25">
      <c r="A450" s="15"/>
      <c r="B450" s="16" t="s">
        <v>374</v>
      </c>
      <c r="C450" s="6"/>
      <c r="F450" s="2" t="s">
        <v>6</v>
      </c>
      <c r="H450" s="22"/>
      <c r="I450" s="6"/>
      <c r="N450" s="22"/>
      <c r="O450" s="6"/>
      <c r="R450" s="22"/>
    </row>
    <row r="451" spans="1:19" ht="15" customHeight="1" x14ac:dyDescent="0.25">
      <c r="A451" s="15"/>
      <c r="B451" s="16" t="s">
        <v>375</v>
      </c>
      <c r="C451" s="6"/>
      <c r="F451" s="2" t="s">
        <v>6</v>
      </c>
      <c r="H451" s="22"/>
      <c r="I451" s="6"/>
      <c r="N451" s="22"/>
      <c r="O451" s="6"/>
      <c r="R451" s="22"/>
    </row>
    <row r="452" spans="1:19" ht="15" customHeight="1" x14ac:dyDescent="0.25">
      <c r="A452" s="15" t="s">
        <v>367</v>
      </c>
      <c r="B452" s="16" t="s">
        <v>376</v>
      </c>
      <c r="C452" s="6"/>
      <c r="F452" s="2" t="s">
        <v>6</v>
      </c>
      <c r="H452" s="22"/>
      <c r="I452" s="6"/>
      <c r="L452" s="2" t="s">
        <v>81</v>
      </c>
      <c r="N452" s="22"/>
      <c r="O452" s="6"/>
      <c r="R452" s="22"/>
    </row>
    <row r="453" spans="1:19" ht="15" customHeight="1" x14ac:dyDescent="0.25">
      <c r="A453" s="15"/>
      <c r="B453" s="16" t="s">
        <v>377</v>
      </c>
      <c r="C453" s="6"/>
      <c r="F453" s="2" t="s">
        <v>6</v>
      </c>
      <c r="H453" s="22"/>
      <c r="I453" s="6"/>
      <c r="N453" s="22"/>
      <c r="O453" s="6"/>
      <c r="R453" s="22"/>
    </row>
    <row r="454" spans="1:19" ht="15" customHeight="1" x14ac:dyDescent="0.25">
      <c r="A454" s="15"/>
      <c r="B454" s="16" t="s">
        <v>378</v>
      </c>
      <c r="C454" s="6"/>
      <c r="F454" s="2" t="s">
        <v>6</v>
      </c>
      <c r="H454" s="22"/>
      <c r="I454" s="6"/>
      <c r="N454" s="22"/>
      <c r="O454" s="6"/>
      <c r="R454" s="22"/>
    </row>
    <row r="455" spans="1:19" ht="15" customHeight="1" x14ac:dyDescent="0.25">
      <c r="A455" s="15" t="s">
        <v>367</v>
      </c>
      <c r="B455" s="16" t="s">
        <v>379</v>
      </c>
      <c r="C455" s="6">
        <v>0</v>
      </c>
      <c r="D455" s="2">
        <v>0</v>
      </c>
      <c r="E455" s="2" t="s">
        <v>6</v>
      </c>
      <c r="F455" s="2" t="s">
        <v>6</v>
      </c>
      <c r="G455" s="2">
        <v>0</v>
      </c>
      <c r="H455" s="22"/>
      <c r="I455" s="6">
        <v>0</v>
      </c>
      <c r="J455" s="2">
        <v>0</v>
      </c>
      <c r="K455" s="2" t="s">
        <v>6</v>
      </c>
      <c r="L455" s="2" t="s">
        <v>81</v>
      </c>
      <c r="M455" s="2">
        <v>0</v>
      </c>
      <c r="N455" s="22"/>
      <c r="O455" s="6">
        <v>0</v>
      </c>
      <c r="P455" s="2">
        <v>0</v>
      </c>
      <c r="Q455" s="2" t="s">
        <v>6</v>
      </c>
      <c r="R455" s="22"/>
      <c r="S455" s="27"/>
    </row>
    <row r="456" spans="1:19" ht="15" customHeight="1" x14ac:dyDescent="0.25">
      <c r="A456" s="15"/>
      <c r="B456" s="16" t="s">
        <v>380</v>
      </c>
      <c r="C456" s="6"/>
      <c r="F456" s="2" t="s">
        <v>6</v>
      </c>
      <c r="H456" s="22"/>
      <c r="I456" s="6"/>
      <c r="N456" s="22"/>
      <c r="O456" s="6"/>
      <c r="R456" s="22"/>
    </row>
    <row r="457" spans="1:19" ht="15" customHeight="1" x14ac:dyDescent="0.25">
      <c r="A457" s="15"/>
      <c r="B457" s="16" t="s">
        <v>381</v>
      </c>
      <c r="C457" s="6"/>
      <c r="F457" s="2" t="s">
        <v>6</v>
      </c>
      <c r="H457" s="22"/>
      <c r="I457" s="6"/>
      <c r="N457" s="22"/>
      <c r="O457" s="6"/>
      <c r="R457" s="22"/>
    </row>
    <row r="458" spans="1:19" ht="15" customHeight="1" x14ac:dyDescent="0.25">
      <c r="A458" s="15"/>
      <c r="B458" s="16" t="s">
        <v>382</v>
      </c>
      <c r="C458" s="6"/>
      <c r="F458" s="2" t="s">
        <v>6</v>
      </c>
      <c r="H458" s="22"/>
      <c r="I458" s="6"/>
      <c r="N458" s="22"/>
      <c r="O458" s="6"/>
      <c r="R458" s="22"/>
    </row>
    <row r="459" spans="1:19" ht="15" customHeight="1" x14ac:dyDescent="0.25">
      <c r="A459" s="15"/>
      <c r="B459" s="16" t="s">
        <v>383</v>
      </c>
      <c r="C459" s="6"/>
      <c r="F459" s="2" t="s">
        <v>6</v>
      </c>
      <c r="H459" s="22"/>
      <c r="I459" s="6"/>
      <c r="N459" s="22"/>
      <c r="O459" s="6"/>
      <c r="R459" s="22"/>
    </row>
    <row r="460" spans="1:19" ht="15" customHeight="1" x14ac:dyDescent="0.25">
      <c r="A460" s="15"/>
      <c r="B460" s="16" t="s">
        <v>384</v>
      </c>
      <c r="C460" s="6"/>
      <c r="F460" s="2" t="s">
        <v>6</v>
      </c>
      <c r="H460" s="22"/>
      <c r="I460" s="6"/>
      <c r="N460" s="22"/>
      <c r="O460" s="6"/>
      <c r="R460" s="22"/>
    </row>
    <row r="461" spans="1:19" ht="15" customHeight="1" x14ac:dyDescent="0.25">
      <c r="A461" s="15"/>
      <c r="B461" s="16"/>
      <c r="C461" s="6"/>
      <c r="F461" s="2" t="s">
        <v>6</v>
      </c>
      <c r="H461" s="22"/>
      <c r="I461" s="6"/>
      <c r="N461" s="22"/>
      <c r="O461" s="6"/>
      <c r="R461" s="22"/>
      <c r="S461" s="27"/>
    </row>
    <row r="462" spans="1:19" ht="15" customHeight="1" x14ac:dyDescent="0.25">
      <c r="A462" s="15"/>
      <c r="B462" s="16"/>
      <c r="C462" s="6"/>
      <c r="F462" s="2" t="s">
        <v>6</v>
      </c>
      <c r="H462" s="22"/>
      <c r="I462" s="6"/>
      <c r="N462" s="22"/>
      <c r="O462" s="6"/>
      <c r="R462" s="22"/>
    </row>
    <row r="463" spans="1:19" ht="15" customHeight="1" x14ac:dyDescent="0.25">
      <c r="A463" s="15"/>
      <c r="B463" s="16"/>
      <c r="C463" s="6"/>
      <c r="F463" s="2" t="s">
        <v>6</v>
      </c>
      <c r="H463" s="22"/>
      <c r="I463" s="6"/>
      <c r="N463" s="22"/>
      <c r="O463" s="6"/>
      <c r="R463" s="22"/>
    </row>
    <row r="464" spans="1:19" ht="15" customHeight="1" x14ac:dyDescent="0.25">
      <c r="A464" s="15"/>
      <c r="B464" s="16"/>
      <c r="C464" s="6"/>
      <c r="F464" s="2" t="s">
        <v>6</v>
      </c>
      <c r="H464" s="22"/>
      <c r="I464" s="6"/>
      <c r="N464" s="22"/>
      <c r="O464" s="6"/>
      <c r="R464" s="22"/>
    </row>
    <row r="465" spans="1:20" ht="15" customHeight="1" x14ac:dyDescent="0.25">
      <c r="A465" s="15"/>
      <c r="B465" s="16"/>
      <c r="C465" s="6"/>
      <c r="F465" s="2" t="s">
        <v>6</v>
      </c>
      <c r="G465" s="34"/>
      <c r="H465" s="22"/>
      <c r="I465" s="6"/>
      <c r="N465" s="22"/>
      <c r="O465" s="6"/>
      <c r="R465" s="22"/>
      <c r="S465" s="27"/>
    </row>
    <row r="466" spans="1:20" ht="15" customHeight="1" x14ac:dyDescent="0.25">
      <c r="A466" s="15"/>
      <c r="B466" s="16"/>
      <c r="C466" s="6"/>
      <c r="F466" s="2" t="s">
        <v>6</v>
      </c>
      <c r="H466" s="22"/>
      <c r="I466" s="6"/>
      <c r="N466" s="22"/>
      <c r="O466" s="6"/>
      <c r="R466" s="22"/>
    </row>
    <row r="467" spans="1:20" ht="15" customHeight="1" x14ac:dyDescent="0.25">
      <c r="A467" s="15"/>
      <c r="B467" s="16"/>
      <c r="C467" s="6"/>
      <c r="F467" s="2" t="s">
        <v>6</v>
      </c>
      <c r="H467" s="22"/>
      <c r="I467" s="6"/>
      <c r="N467" s="22"/>
      <c r="O467" s="6"/>
      <c r="R467" s="22"/>
    </row>
    <row r="468" spans="1:20" ht="15" customHeight="1" x14ac:dyDescent="0.25">
      <c r="A468" s="15"/>
      <c r="B468" s="16"/>
      <c r="C468" s="6"/>
      <c r="F468" s="2" t="s">
        <v>6</v>
      </c>
      <c r="H468" s="22"/>
      <c r="I468" s="6"/>
      <c r="N468" s="22"/>
      <c r="O468" s="6"/>
      <c r="R468" s="22"/>
    </row>
    <row r="469" spans="1:20" ht="15" customHeight="1" thickBot="1" x14ac:dyDescent="0.3">
      <c r="A469" s="17"/>
      <c r="B469" s="18"/>
      <c r="C469" s="7"/>
      <c r="D469" s="8"/>
      <c r="E469" s="8"/>
      <c r="F469" s="8"/>
      <c r="G469" s="8"/>
      <c r="H469" s="23"/>
      <c r="I469" s="7"/>
      <c r="J469" s="8"/>
      <c r="K469" s="8"/>
      <c r="L469" s="8"/>
      <c r="M469" s="8"/>
      <c r="N469" s="23"/>
      <c r="O469" s="7"/>
      <c r="P469" s="8"/>
      <c r="Q469" s="8"/>
      <c r="R469" s="23"/>
    </row>
    <row r="470" spans="1:20" ht="15" customHeight="1" thickBot="1" x14ac:dyDescent="0.3"/>
    <row r="471" spans="1:20" ht="15" customHeight="1" x14ac:dyDescent="0.25">
      <c r="A471" s="2"/>
      <c r="B471" s="3" t="s">
        <v>10</v>
      </c>
      <c r="C471" s="4">
        <f>COUNTIF(C479:C503,"A")</f>
        <v>0</v>
      </c>
      <c r="D471" s="5">
        <f t="shared" ref="D471:H471" si="299">COUNTIF(D479:D503,"A")</f>
        <v>0</v>
      </c>
      <c r="E471" s="5">
        <f t="shared" si="299"/>
        <v>0</v>
      </c>
      <c r="F471" s="5">
        <f t="shared" si="299"/>
        <v>21</v>
      </c>
      <c r="G471" s="5">
        <f t="shared" si="299"/>
        <v>0</v>
      </c>
      <c r="H471" s="5">
        <f t="shared" si="299"/>
        <v>0</v>
      </c>
      <c r="I471" s="5">
        <f>COUNTIF(I479:I503,"A")</f>
        <v>0</v>
      </c>
      <c r="J471" s="5">
        <f t="shared" ref="J471:N471" si="300">COUNTIF(J479:J503,"A")</f>
        <v>0</v>
      </c>
      <c r="K471" s="5">
        <f t="shared" si="300"/>
        <v>0</v>
      </c>
      <c r="L471" s="5">
        <f t="shared" si="300"/>
        <v>0</v>
      </c>
      <c r="M471" s="5">
        <f t="shared" si="300"/>
        <v>0</v>
      </c>
      <c r="N471" s="5">
        <f t="shared" si="300"/>
        <v>0</v>
      </c>
      <c r="O471" s="5">
        <f>COUNTIF(O479:O503,"A")</f>
        <v>0</v>
      </c>
      <c r="P471" s="5">
        <f t="shared" ref="P471:R471" si="301">COUNTIF(P479:P503,"A")</f>
        <v>0</v>
      </c>
      <c r="Q471" s="5">
        <f t="shared" si="301"/>
        <v>0</v>
      </c>
      <c r="R471" s="10">
        <f t="shared" si="301"/>
        <v>0</v>
      </c>
      <c r="S471" s="26" t="s">
        <v>74</v>
      </c>
    </row>
    <row r="472" spans="1:20" ht="15" customHeight="1" x14ac:dyDescent="0.25">
      <c r="A472" s="25" t="s">
        <v>52</v>
      </c>
      <c r="B472" s="3" t="s">
        <v>11</v>
      </c>
      <c r="C472" s="28">
        <f>C471/C474</f>
        <v>0</v>
      </c>
      <c r="D472" s="29">
        <f t="shared" ref="D472:H472" si="302">D471/D474</f>
        <v>0</v>
      </c>
      <c r="E472" s="29">
        <f t="shared" si="302"/>
        <v>0</v>
      </c>
      <c r="F472" s="29">
        <f t="shared" si="302"/>
        <v>0.875</v>
      </c>
      <c r="G472" s="29">
        <f t="shared" si="302"/>
        <v>0</v>
      </c>
      <c r="H472" s="29" t="e">
        <f t="shared" si="302"/>
        <v>#DIV/0!</v>
      </c>
      <c r="I472" s="29">
        <f>I471/I474</f>
        <v>0</v>
      </c>
      <c r="J472" s="29">
        <f t="shared" ref="J472:N472" si="303">J471/J474</f>
        <v>0</v>
      </c>
      <c r="K472" s="29">
        <f t="shared" si="303"/>
        <v>0</v>
      </c>
      <c r="L472" s="29">
        <f t="shared" si="303"/>
        <v>0</v>
      </c>
      <c r="M472" s="29">
        <f t="shared" si="303"/>
        <v>0</v>
      </c>
      <c r="N472" s="29" t="e">
        <f t="shared" si="303"/>
        <v>#DIV/0!</v>
      </c>
      <c r="O472" s="29">
        <f>O471/O474</f>
        <v>0</v>
      </c>
      <c r="P472" s="29">
        <f t="shared" ref="P472:R472" si="304">P471/P474</f>
        <v>0</v>
      </c>
      <c r="Q472" s="29">
        <f t="shared" si="304"/>
        <v>0</v>
      </c>
      <c r="R472" s="30" t="e">
        <f t="shared" si="304"/>
        <v>#DIV/0!</v>
      </c>
      <c r="S472" s="2" t="s">
        <v>6</v>
      </c>
      <c r="T472" s="1" t="s">
        <v>75</v>
      </c>
    </row>
    <row r="473" spans="1:20" ht="15" customHeight="1" x14ac:dyDescent="0.25">
      <c r="A473" s="9">
        <f>COUNTA(A479:A503)/C476</f>
        <v>0.1875</v>
      </c>
      <c r="B473" s="3" t="s">
        <v>12</v>
      </c>
      <c r="C473" s="28">
        <f>C471/$C476</f>
        <v>0</v>
      </c>
      <c r="D473" s="29">
        <f>D471/$C476</f>
        <v>0</v>
      </c>
      <c r="E473" s="29">
        <f t="shared" ref="E473:R473" si="305">E471/$C476</f>
        <v>0</v>
      </c>
      <c r="F473" s="29">
        <f t="shared" si="305"/>
        <v>1.3125</v>
      </c>
      <c r="G473" s="29">
        <f t="shared" si="305"/>
        <v>0</v>
      </c>
      <c r="H473" s="29">
        <f t="shared" si="305"/>
        <v>0</v>
      </c>
      <c r="I473" s="29">
        <f t="shared" si="305"/>
        <v>0</v>
      </c>
      <c r="J473" s="29">
        <f t="shared" si="305"/>
        <v>0</v>
      </c>
      <c r="K473" s="29">
        <f t="shared" si="305"/>
        <v>0</v>
      </c>
      <c r="L473" s="29">
        <f t="shared" si="305"/>
        <v>0</v>
      </c>
      <c r="M473" s="29">
        <f t="shared" si="305"/>
        <v>0</v>
      </c>
      <c r="N473" s="29">
        <f t="shared" si="305"/>
        <v>0</v>
      </c>
      <c r="O473" s="29">
        <f t="shared" si="305"/>
        <v>0</v>
      </c>
      <c r="P473" s="29">
        <f t="shared" si="305"/>
        <v>0</v>
      </c>
      <c r="Q473" s="29">
        <f t="shared" si="305"/>
        <v>0</v>
      </c>
      <c r="R473" s="30">
        <f t="shared" si="305"/>
        <v>0</v>
      </c>
      <c r="S473" s="2" t="s">
        <v>76</v>
      </c>
      <c r="T473" s="1" t="s">
        <v>77</v>
      </c>
    </row>
    <row r="474" spans="1:20" ht="15" customHeight="1" x14ac:dyDescent="0.25">
      <c r="A474" s="24" t="s">
        <v>71</v>
      </c>
      <c r="B474" s="3" t="s">
        <v>8</v>
      </c>
      <c r="C474" s="6">
        <f>COUNTA(C479:C503)</f>
        <v>3</v>
      </c>
      <c r="D474" s="2">
        <f t="shared" ref="D474:H474" si="306">COUNTA(D479:D503)</f>
        <v>3</v>
      </c>
      <c r="E474" s="2">
        <f t="shared" si="306"/>
        <v>3</v>
      </c>
      <c r="F474" s="2">
        <f t="shared" si="306"/>
        <v>24</v>
      </c>
      <c r="G474" s="2">
        <f t="shared" si="306"/>
        <v>3</v>
      </c>
      <c r="H474" s="2">
        <f t="shared" si="306"/>
        <v>0</v>
      </c>
      <c r="I474" s="2">
        <f>COUNTA(I479:I503)</f>
        <v>3</v>
      </c>
      <c r="J474" s="2">
        <f t="shared" ref="J474:N474" si="307">COUNTA(J479:J503)</f>
        <v>3</v>
      </c>
      <c r="K474" s="2">
        <f t="shared" si="307"/>
        <v>3</v>
      </c>
      <c r="L474" s="2">
        <f t="shared" si="307"/>
        <v>3</v>
      </c>
      <c r="M474" s="2">
        <f t="shared" si="307"/>
        <v>3</v>
      </c>
      <c r="N474" s="2">
        <f t="shared" si="307"/>
        <v>0</v>
      </c>
      <c r="O474" s="2">
        <f>COUNTA(O479:O503)</f>
        <v>3</v>
      </c>
      <c r="P474" s="2">
        <f t="shared" ref="P474:R474" si="308">COUNTA(P479:P503)</f>
        <v>3</v>
      </c>
      <c r="Q474" s="2">
        <f t="shared" si="308"/>
        <v>3</v>
      </c>
      <c r="R474" s="11">
        <f t="shared" si="308"/>
        <v>0</v>
      </c>
      <c r="S474" s="2">
        <v>0</v>
      </c>
      <c r="T474" s="1" t="s">
        <v>78</v>
      </c>
    </row>
    <row r="475" spans="1:20" ht="15" customHeight="1" x14ac:dyDescent="0.25">
      <c r="A475" s="33" t="s">
        <v>393</v>
      </c>
      <c r="B475" s="3" t="s">
        <v>9</v>
      </c>
      <c r="C475" s="28">
        <f>C474/$C476</f>
        <v>0.1875</v>
      </c>
      <c r="D475" s="29">
        <f t="shared" ref="D475" si="309">D474/$C476</f>
        <v>0.1875</v>
      </c>
      <c r="E475" s="29">
        <f t="shared" ref="E475" si="310">E474/$C476</f>
        <v>0.1875</v>
      </c>
      <c r="F475" s="29">
        <f t="shared" ref="F475" si="311">F474/$C476</f>
        <v>1.5</v>
      </c>
      <c r="G475" s="29">
        <f t="shared" ref="G475" si="312">G474/$C476</f>
        <v>0.1875</v>
      </c>
      <c r="H475" s="29">
        <f t="shared" ref="H475" si="313">H474/$C476</f>
        <v>0</v>
      </c>
      <c r="I475" s="29">
        <f t="shared" ref="I475" si="314">I474/$C476</f>
        <v>0.1875</v>
      </c>
      <c r="J475" s="29">
        <f t="shared" ref="J475" si="315">J474/$C476</f>
        <v>0.1875</v>
      </c>
      <c r="K475" s="29">
        <f t="shared" ref="K475" si="316">K474/$C476</f>
        <v>0.1875</v>
      </c>
      <c r="L475" s="29">
        <f t="shared" ref="L475" si="317">L474/$C476</f>
        <v>0.1875</v>
      </c>
      <c r="M475" s="29">
        <f t="shared" ref="M475" si="318">M474/$C476</f>
        <v>0.1875</v>
      </c>
      <c r="N475" s="29">
        <f t="shared" ref="N475" si="319">N474/$C476</f>
        <v>0</v>
      </c>
      <c r="O475" s="29">
        <f t="shared" ref="O475" si="320">O474/$C476</f>
        <v>0.1875</v>
      </c>
      <c r="P475" s="29">
        <f t="shared" ref="P475" si="321">P474/$C476</f>
        <v>0.1875</v>
      </c>
      <c r="Q475" s="29">
        <f t="shared" ref="Q475" si="322">Q474/$C476</f>
        <v>0.1875</v>
      </c>
      <c r="R475" s="30">
        <f t="shared" ref="R475" si="323">R474/$C476</f>
        <v>0</v>
      </c>
      <c r="S475" s="2" t="s">
        <v>81</v>
      </c>
      <c r="T475" s="1" t="s">
        <v>82</v>
      </c>
    </row>
    <row r="476" spans="1:20" ht="15" customHeight="1" thickBot="1" x14ac:dyDescent="0.3">
      <c r="A476" s="24" t="s">
        <v>72</v>
      </c>
      <c r="B476" s="3" t="s">
        <v>7</v>
      </c>
      <c r="C476" s="7">
        <f>COUNTA($B479:$B503)</f>
        <v>16</v>
      </c>
      <c r="D476" s="8"/>
      <c r="E476" s="8"/>
      <c r="F476" s="8"/>
      <c r="G476" s="8"/>
      <c r="H476" s="31"/>
      <c r="I476" s="8"/>
      <c r="J476" s="8"/>
      <c r="K476" s="8"/>
      <c r="L476" s="8"/>
      <c r="M476" s="8"/>
      <c r="N476" s="31"/>
      <c r="O476" s="8"/>
      <c r="P476" s="8"/>
      <c r="Q476" s="8"/>
      <c r="R476" s="18"/>
      <c r="S476" s="2" t="s">
        <v>134</v>
      </c>
      <c r="T476" s="1" t="s">
        <v>135</v>
      </c>
    </row>
    <row r="477" spans="1:20" ht="15" customHeight="1" thickBot="1" x14ac:dyDescent="0.3">
      <c r="A477" s="33" t="s">
        <v>394</v>
      </c>
      <c r="C477" s="35" t="s">
        <v>15</v>
      </c>
      <c r="D477" s="36"/>
      <c r="E477" s="36"/>
      <c r="F477" s="36"/>
      <c r="G477" s="36"/>
      <c r="H477" s="36"/>
      <c r="I477" s="36" t="s">
        <v>13</v>
      </c>
      <c r="J477" s="36"/>
      <c r="K477" s="36"/>
      <c r="L477" s="36"/>
      <c r="M477" s="36"/>
      <c r="N477" s="36"/>
      <c r="O477" s="36" t="s">
        <v>14</v>
      </c>
      <c r="P477" s="36"/>
      <c r="Q477" s="36"/>
      <c r="R477" s="37"/>
    </row>
    <row r="478" spans="1:20" ht="28" customHeight="1" thickBot="1" x14ac:dyDescent="0.3">
      <c r="A478" s="19" t="s">
        <v>1</v>
      </c>
      <c r="B478" s="20" t="s">
        <v>0</v>
      </c>
      <c r="C478" s="12" t="s">
        <v>2</v>
      </c>
      <c r="D478" s="13" t="s">
        <v>3</v>
      </c>
      <c r="E478" s="13" t="s">
        <v>4</v>
      </c>
      <c r="F478" s="21" t="s">
        <v>84</v>
      </c>
      <c r="G478" s="21" t="s">
        <v>34</v>
      </c>
      <c r="H478" s="13" t="s">
        <v>5</v>
      </c>
      <c r="I478" s="13" t="s">
        <v>2</v>
      </c>
      <c r="J478" s="13" t="s">
        <v>3</v>
      </c>
      <c r="K478" s="13" t="s">
        <v>4</v>
      </c>
      <c r="L478" s="21" t="s">
        <v>83</v>
      </c>
      <c r="M478" s="21" t="s">
        <v>34</v>
      </c>
      <c r="N478" s="13" t="s">
        <v>5</v>
      </c>
      <c r="O478" s="13" t="s">
        <v>2</v>
      </c>
      <c r="P478" s="13" t="s">
        <v>3</v>
      </c>
      <c r="Q478" s="13" t="s">
        <v>4</v>
      </c>
      <c r="R478" s="14" t="s">
        <v>5</v>
      </c>
    </row>
    <row r="479" spans="1:20" ht="15" customHeight="1" x14ac:dyDescent="0.25">
      <c r="A479" s="15"/>
      <c r="B479" s="16" t="s">
        <v>385</v>
      </c>
      <c r="C479" s="6"/>
      <c r="F479" s="2" t="s">
        <v>6</v>
      </c>
      <c r="H479" s="22"/>
      <c r="I479" s="6"/>
      <c r="N479" s="22"/>
      <c r="O479" s="6"/>
      <c r="R479" s="22"/>
    </row>
    <row r="480" spans="1:20" ht="15" customHeight="1" x14ac:dyDescent="0.25">
      <c r="A480" s="15"/>
      <c r="B480" s="16" t="s">
        <v>386</v>
      </c>
      <c r="C480" s="6"/>
      <c r="F480" s="2" t="s">
        <v>6</v>
      </c>
      <c r="H480" s="22"/>
      <c r="I480" s="6"/>
      <c r="N480" s="22"/>
      <c r="O480" s="6"/>
      <c r="R480" s="22"/>
    </row>
    <row r="481" spans="1:19" ht="15" customHeight="1" x14ac:dyDescent="0.25">
      <c r="A481" s="15"/>
      <c r="B481" s="16" t="s">
        <v>387</v>
      </c>
      <c r="C481" s="6"/>
      <c r="F481" s="2" t="s">
        <v>6</v>
      </c>
      <c r="H481" s="22"/>
      <c r="I481" s="6"/>
      <c r="N481" s="22"/>
      <c r="O481" s="6"/>
      <c r="R481" s="22"/>
    </row>
    <row r="482" spans="1:19" ht="15" customHeight="1" x14ac:dyDescent="0.25">
      <c r="A482" s="15"/>
      <c r="B482" s="16" t="s">
        <v>388</v>
      </c>
      <c r="C482" s="6"/>
      <c r="F482" s="2" t="s">
        <v>6</v>
      </c>
      <c r="H482" s="22"/>
      <c r="I482" s="6"/>
      <c r="N482" s="22"/>
      <c r="O482" s="6"/>
      <c r="R482" s="22"/>
    </row>
    <row r="483" spans="1:19" ht="15" customHeight="1" x14ac:dyDescent="0.25">
      <c r="A483" s="15"/>
      <c r="B483" s="16" t="s">
        <v>389</v>
      </c>
      <c r="C483" s="6"/>
      <c r="F483" s="2" t="s">
        <v>6</v>
      </c>
      <c r="H483" s="22"/>
      <c r="I483" s="6"/>
      <c r="N483" s="22"/>
      <c r="O483" s="6"/>
      <c r="R483" s="22"/>
    </row>
    <row r="484" spans="1:19" ht="15" customHeight="1" x14ac:dyDescent="0.25">
      <c r="A484" s="15"/>
      <c r="B484" s="16" t="s">
        <v>390</v>
      </c>
      <c r="C484" s="6"/>
      <c r="F484" s="2" t="s">
        <v>6</v>
      </c>
      <c r="H484" s="22"/>
      <c r="I484" s="6"/>
      <c r="N484" s="22"/>
      <c r="O484" s="6"/>
      <c r="R484" s="22"/>
    </row>
    <row r="485" spans="1:19" ht="15" customHeight="1" x14ac:dyDescent="0.25">
      <c r="A485" s="15"/>
      <c r="B485" s="16" t="s">
        <v>391</v>
      </c>
      <c r="C485" s="6"/>
      <c r="F485" s="2" t="s">
        <v>6</v>
      </c>
      <c r="H485" s="22"/>
      <c r="I485" s="6"/>
      <c r="N485" s="22"/>
      <c r="O485" s="6"/>
      <c r="R485" s="22"/>
    </row>
    <row r="486" spans="1:19" ht="15" customHeight="1" x14ac:dyDescent="0.25">
      <c r="A486" s="15"/>
      <c r="B486" s="16" t="s">
        <v>392</v>
      </c>
      <c r="C486" s="6"/>
      <c r="F486" s="2" t="s">
        <v>6</v>
      </c>
      <c r="H486" s="22"/>
      <c r="I486" s="6"/>
      <c r="N486" s="22"/>
      <c r="O486" s="6"/>
      <c r="R486" s="22"/>
    </row>
    <row r="487" spans="1:19" ht="15" customHeight="1" x14ac:dyDescent="0.25">
      <c r="A487" s="15" t="s">
        <v>395</v>
      </c>
      <c r="B487" s="16" t="s">
        <v>396</v>
      </c>
      <c r="C487" s="6">
        <v>0</v>
      </c>
      <c r="D487" s="2">
        <v>0</v>
      </c>
      <c r="E487" s="2">
        <v>0</v>
      </c>
      <c r="F487" s="2">
        <v>0</v>
      </c>
      <c r="G487" s="2">
        <v>0</v>
      </c>
      <c r="H487" s="22"/>
      <c r="I487" s="6">
        <v>0</v>
      </c>
      <c r="J487" s="2">
        <v>0</v>
      </c>
      <c r="K487" s="2">
        <v>0</v>
      </c>
      <c r="L487" s="2" t="s">
        <v>81</v>
      </c>
      <c r="M487" s="2">
        <v>0</v>
      </c>
      <c r="N487" s="22"/>
      <c r="O487" s="6">
        <v>0</v>
      </c>
      <c r="P487" s="2">
        <v>0</v>
      </c>
      <c r="Q487" s="2">
        <v>0</v>
      </c>
      <c r="R487" s="22"/>
    </row>
    <row r="488" spans="1:19" ht="15" customHeight="1" x14ac:dyDescent="0.25">
      <c r="A488" s="15"/>
      <c r="B488" s="16" t="s">
        <v>397</v>
      </c>
      <c r="C488" s="6"/>
      <c r="F488" s="2" t="s">
        <v>6</v>
      </c>
      <c r="H488" s="22"/>
      <c r="I488" s="6"/>
      <c r="N488" s="22"/>
      <c r="O488" s="6"/>
      <c r="R488" s="22"/>
    </row>
    <row r="489" spans="1:19" ht="15" customHeight="1" x14ac:dyDescent="0.25">
      <c r="A489" s="15"/>
      <c r="B489" s="16" t="s">
        <v>398</v>
      </c>
      <c r="C489" s="6"/>
      <c r="F489" s="2" t="s">
        <v>6</v>
      </c>
      <c r="H489" s="22"/>
      <c r="I489" s="6"/>
      <c r="N489" s="22"/>
      <c r="O489" s="6"/>
      <c r="R489" s="22"/>
      <c r="S489" s="27"/>
    </row>
    <row r="490" spans="1:19" ht="15" customHeight="1" x14ac:dyDescent="0.25">
      <c r="A490" s="15" t="s">
        <v>395</v>
      </c>
      <c r="B490" s="16" t="s">
        <v>399</v>
      </c>
      <c r="C490" s="6">
        <v>0</v>
      </c>
      <c r="D490" s="2">
        <v>0</v>
      </c>
      <c r="E490" s="2">
        <v>0</v>
      </c>
      <c r="F490" s="2">
        <v>0</v>
      </c>
      <c r="G490" s="2">
        <v>0</v>
      </c>
      <c r="H490" s="22"/>
      <c r="I490" s="6">
        <v>0</v>
      </c>
      <c r="J490" s="2">
        <v>0</v>
      </c>
      <c r="K490" s="2">
        <v>0</v>
      </c>
      <c r="L490" s="2">
        <v>0</v>
      </c>
      <c r="M490" s="2">
        <v>0</v>
      </c>
      <c r="N490" s="22"/>
      <c r="O490" s="6">
        <v>0</v>
      </c>
      <c r="P490" s="2">
        <v>0</v>
      </c>
      <c r="Q490" s="2">
        <v>0</v>
      </c>
      <c r="R490" s="22"/>
    </row>
    <row r="491" spans="1:19" ht="15" customHeight="1" x14ac:dyDescent="0.25">
      <c r="A491" s="15"/>
      <c r="B491" s="16" t="s">
        <v>400</v>
      </c>
      <c r="C491" s="6"/>
      <c r="F491" s="2" t="s">
        <v>6</v>
      </c>
      <c r="H491" s="22"/>
      <c r="I491" s="6"/>
      <c r="N491" s="22"/>
      <c r="O491" s="6"/>
      <c r="R491" s="22"/>
    </row>
    <row r="492" spans="1:19" ht="15" customHeight="1" x14ac:dyDescent="0.25">
      <c r="A492" s="15"/>
      <c r="B492" s="16" t="s">
        <v>401</v>
      </c>
      <c r="C492" s="6"/>
      <c r="F492" s="2" t="s">
        <v>6</v>
      </c>
      <c r="H492" s="22"/>
      <c r="I492" s="6"/>
      <c r="N492" s="22"/>
      <c r="O492" s="6"/>
      <c r="R492" s="22"/>
    </row>
    <row r="493" spans="1:19" ht="15" customHeight="1" x14ac:dyDescent="0.25">
      <c r="A493" s="15"/>
      <c r="B493" s="16" t="s">
        <v>402</v>
      </c>
      <c r="C493" s="6"/>
      <c r="F493" s="2" t="s">
        <v>6</v>
      </c>
      <c r="H493" s="22"/>
      <c r="I493" s="6"/>
      <c r="N493" s="22"/>
      <c r="O493" s="6"/>
      <c r="R493" s="22"/>
    </row>
    <row r="494" spans="1:19" ht="15" customHeight="1" x14ac:dyDescent="0.25">
      <c r="A494" s="15" t="s">
        <v>395</v>
      </c>
      <c r="B494" s="16" t="s">
        <v>403</v>
      </c>
      <c r="C494" s="6">
        <v>0</v>
      </c>
      <c r="D494" s="2">
        <v>0</v>
      </c>
      <c r="E494" s="2">
        <v>0</v>
      </c>
      <c r="F494" s="2">
        <v>0</v>
      </c>
      <c r="G494" s="2">
        <v>0</v>
      </c>
      <c r="H494" s="22"/>
      <c r="I494" s="6">
        <v>0</v>
      </c>
      <c r="J494" s="2">
        <v>0</v>
      </c>
      <c r="K494" s="2">
        <v>0</v>
      </c>
      <c r="L494" s="2">
        <v>0</v>
      </c>
      <c r="M494" s="2">
        <v>0</v>
      </c>
      <c r="N494" s="22"/>
      <c r="O494" s="6">
        <v>0</v>
      </c>
      <c r="P494" s="2">
        <v>0</v>
      </c>
      <c r="Q494" s="2">
        <v>0</v>
      </c>
      <c r="R494" s="22"/>
    </row>
    <row r="495" spans="1:19" ht="15" customHeight="1" x14ac:dyDescent="0.25">
      <c r="A495" s="15"/>
      <c r="B495" s="16"/>
      <c r="C495" s="6"/>
      <c r="F495" s="2" t="s">
        <v>6</v>
      </c>
      <c r="H495" s="22"/>
      <c r="I495" s="6"/>
      <c r="N495" s="22"/>
      <c r="O495" s="6"/>
      <c r="R495" s="22"/>
      <c r="S495" s="27"/>
    </row>
    <row r="496" spans="1:19" ht="15" customHeight="1" x14ac:dyDescent="0.25">
      <c r="A496" s="15"/>
      <c r="B496" s="16"/>
      <c r="C496" s="6"/>
      <c r="F496" s="2" t="s">
        <v>6</v>
      </c>
      <c r="H496" s="22"/>
      <c r="I496" s="6"/>
      <c r="N496" s="22"/>
      <c r="O496" s="6"/>
      <c r="R496" s="22"/>
    </row>
    <row r="497" spans="1:20" ht="15" customHeight="1" x14ac:dyDescent="0.25">
      <c r="A497" s="15"/>
      <c r="B497" s="16"/>
      <c r="C497" s="6"/>
      <c r="F497" s="2" t="s">
        <v>6</v>
      </c>
      <c r="H497" s="22"/>
      <c r="I497" s="6"/>
      <c r="N497" s="22"/>
      <c r="O497" s="6"/>
      <c r="R497" s="22"/>
    </row>
    <row r="498" spans="1:20" ht="15" customHeight="1" x14ac:dyDescent="0.25">
      <c r="A498" s="15"/>
      <c r="B498" s="16"/>
      <c r="C498" s="6"/>
      <c r="F498" s="2" t="s">
        <v>6</v>
      </c>
      <c r="H498" s="22"/>
      <c r="I498" s="6"/>
      <c r="N498" s="22"/>
      <c r="O498" s="6"/>
      <c r="R498" s="22"/>
    </row>
    <row r="499" spans="1:20" ht="15" customHeight="1" x14ac:dyDescent="0.25">
      <c r="A499" s="15"/>
      <c r="B499" s="16"/>
      <c r="C499" s="6"/>
      <c r="F499" s="2" t="s">
        <v>6</v>
      </c>
      <c r="G499" s="34"/>
      <c r="H499" s="22"/>
      <c r="I499" s="6"/>
      <c r="N499" s="22"/>
      <c r="O499" s="6"/>
      <c r="R499" s="22"/>
      <c r="S499" s="27"/>
    </row>
    <row r="500" spans="1:20" ht="15" customHeight="1" x14ac:dyDescent="0.25">
      <c r="A500" s="15"/>
      <c r="B500" s="16"/>
      <c r="C500" s="6"/>
      <c r="F500" s="2" t="s">
        <v>6</v>
      </c>
      <c r="H500" s="22"/>
      <c r="I500" s="6"/>
      <c r="N500" s="22"/>
      <c r="O500" s="6"/>
      <c r="R500" s="22"/>
    </row>
    <row r="501" spans="1:20" ht="15" customHeight="1" x14ac:dyDescent="0.25">
      <c r="A501" s="15"/>
      <c r="B501" s="16"/>
      <c r="C501" s="6"/>
      <c r="F501" s="2" t="s">
        <v>6</v>
      </c>
      <c r="H501" s="22"/>
      <c r="I501" s="6"/>
      <c r="N501" s="22"/>
      <c r="O501" s="6"/>
      <c r="R501" s="22"/>
    </row>
    <row r="502" spans="1:20" ht="15" customHeight="1" x14ac:dyDescent="0.25">
      <c r="A502" s="15"/>
      <c r="B502" s="16"/>
      <c r="C502" s="6"/>
      <c r="F502" s="2" t="s">
        <v>6</v>
      </c>
      <c r="H502" s="22"/>
      <c r="I502" s="6"/>
      <c r="N502" s="22"/>
      <c r="O502" s="6"/>
      <c r="R502" s="22"/>
    </row>
    <row r="503" spans="1:20" ht="15" customHeight="1" thickBot="1" x14ac:dyDescent="0.3">
      <c r="A503" s="17"/>
      <c r="B503" s="18"/>
      <c r="C503" s="7"/>
      <c r="D503" s="8"/>
      <c r="E503" s="8"/>
      <c r="F503" s="8"/>
      <c r="G503" s="8"/>
      <c r="H503" s="23"/>
      <c r="I503" s="7"/>
      <c r="J503" s="8"/>
      <c r="K503" s="8"/>
      <c r="L503" s="8"/>
      <c r="M503" s="8"/>
      <c r="N503" s="23"/>
      <c r="O503" s="7"/>
      <c r="P503" s="8"/>
      <c r="Q503" s="8"/>
      <c r="R503" s="23"/>
    </row>
    <row r="504" spans="1:20" ht="15" customHeight="1" thickBot="1" x14ac:dyDescent="0.3"/>
    <row r="505" spans="1:20" ht="15" customHeight="1" x14ac:dyDescent="0.25">
      <c r="A505" s="2"/>
      <c r="B505" s="3" t="s">
        <v>10</v>
      </c>
      <c r="C505" s="4">
        <f>COUNTIF(C513:C537,"A")</f>
        <v>0</v>
      </c>
      <c r="D505" s="5">
        <f t="shared" ref="D505:H505" si="324">COUNTIF(D513:D537,"A")</f>
        <v>0</v>
      </c>
      <c r="E505" s="5">
        <f t="shared" si="324"/>
        <v>2</v>
      </c>
      <c r="F505" s="5">
        <f t="shared" si="324"/>
        <v>21</v>
      </c>
      <c r="G505" s="5">
        <f t="shared" si="324"/>
        <v>0</v>
      </c>
      <c r="H505" s="5">
        <f t="shared" si="324"/>
        <v>0</v>
      </c>
      <c r="I505" s="5">
        <f>COUNTIF(I513:I537,"A")</f>
        <v>0</v>
      </c>
      <c r="J505" s="5">
        <f t="shared" ref="J505:N505" si="325">COUNTIF(J513:J537,"A")</f>
        <v>0</v>
      </c>
      <c r="K505" s="5">
        <f t="shared" si="325"/>
        <v>1</v>
      </c>
      <c r="L505" s="5">
        <f t="shared" si="325"/>
        <v>0</v>
      </c>
      <c r="M505" s="5">
        <f t="shared" si="325"/>
        <v>0</v>
      </c>
      <c r="N505" s="5">
        <f t="shared" si="325"/>
        <v>0</v>
      </c>
      <c r="O505" s="5">
        <f>COUNTIF(O513:O537,"A")</f>
        <v>0</v>
      </c>
      <c r="P505" s="5">
        <f t="shared" ref="P505:R505" si="326">COUNTIF(P513:P537,"A")</f>
        <v>0</v>
      </c>
      <c r="Q505" s="5">
        <f t="shared" si="326"/>
        <v>2</v>
      </c>
      <c r="R505" s="10">
        <f t="shared" si="326"/>
        <v>0</v>
      </c>
      <c r="S505" s="26" t="s">
        <v>74</v>
      </c>
    </row>
    <row r="506" spans="1:20" ht="15" customHeight="1" x14ac:dyDescent="0.25">
      <c r="A506" s="25" t="s">
        <v>52</v>
      </c>
      <c r="B506" s="3" t="s">
        <v>11</v>
      </c>
      <c r="C506" s="28">
        <f>C505/C508</f>
        <v>0</v>
      </c>
      <c r="D506" s="29">
        <f t="shared" ref="D506:H506" si="327">D505/D508</f>
        <v>0</v>
      </c>
      <c r="E506" s="29">
        <f t="shared" si="327"/>
        <v>0.5</v>
      </c>
      <c r="F506" s="29">
        <f t="shared" si="327"/>
        <v>0.875</v>
      </c>
      <c r="G506" s="29">
        <f t="shared" si="327"/>
        <v>0</v>
      </c>
      <c r="H506" s="29" t="e">
        <f t="shared" si="327"/>
        <v>#DIV/0!</v>
      </c>
      <c r="I506" s="29">
        <f>I505/I508</f>
        <v>0</v>
      </c>
      <c r="J506" s="29">
        <f t="shared" ref="J506:N506" si="328">J505/J508</f>
        <v>0</v>
      </c>
      <c r="K506" s="29">
        <f t="shared" si="328"/>
        <v>0.33333333333333331</v>
      </c>
      <c r="L506" s="29">
        <f t="shared" si="328"/>
        <v>0</v>
      </c>
      <c r="M506" s="29">
        <f t="shared" si="328"/>
        <v>0</v>
      </c>
      <c r="N506" s="29" t="e">
        <f t="shared" si="328"/>
        <v>#DIV/0!</v>
      </c>
      <c r="O506" s="29">
        <f>O505/O508</f>
        <v>0</v>
      </c>
      <c r="P506" s="29">
        <f t="shared" ref="P506:R506" si="329">P505/P508</f>
        <v>0</v>
      </c>
      <c r="Q506" s="29">
        <f t="shared" si="329"/>
        <v>0.5</v>
      </c>
      <c r="R506" s="30" t="e">
        <f t="shared" si="329"/>
        <v>#DIV/0!</v>
      </c>
      <c r="S506" s="2" t="s">
        <v>6</v>
      </c>
      <c r="T506" s="1" t="s">
        <v>75</v>
      </c>
    </row>
    <row r="507" spans="1:20" ht="15" customHeight="1" x14ac:dyDescent="0.25">
      <c r="A507" s="9">
        <f>COUNTA(A513:A537)/C510</f>
        <v>0.16666666666666666</v>
      </c>
      <c r="B507" s="3" t="s">
        <v>12</v>
      </c>
      <c r="C507" s="28">
        <f>C505/$C510</f>
        <v>0</v>
      </c>
      <c r="D507" s="29">
        <f>D505/$C510</f>
        <v>0</v>
      </c>
      <c r="E507" s="29">
        <f t="shared" ref="E507:R507" si="330">E505/$C510</f>
        <v>8.3333333333333329E-2</v>
      </c>
      <c r="F507" s="29">
        <f t="shared" si="330"/>
        <v>0.875</v>
      </c>
      <c r="G507" s="29">
        <f t="shared" si="330"/>
        <v>0</v>
      </c>
      <c r="H507" s="29">
        <f t="shared" si="330"/>
        <v>0</v>
      </c>
      <c r="I507" s="29">
        <f t="shared" si="330"/>
        <v>0</v>
      </c>
      <c r="J507" s="29">
        <f t="shared" si="330"/>
        <v>0</v>
      </c>
      <c r="K507" s="29">
        <f t="shared" si="330"/>
        <v>4.1666666666666664E-2</v>
      </c>
      <c r="L507" s="29">
        <f t="shared" si="330"/>
        <v>0</v>
      </c>
      <c r="M507" s="29">
        <f t="shared" si="330"/>
        <v>0</v>
      </c>
      <c r="N507" s="29">
        <f t="shared" si="330"/>
        <v>0</v>
      </c>
      <c r="O507" s="29">
        <f t="shared" si="330"/>
        <v>0</v>
      </c>
      <c r="P507" s="29">
        <f t="shared" si="330"/>
        <v>0</v>
      </c>
      <c r="Q507" s="29">
        <f t="shared" si="330"/>
        <v>8.3333333333333329E-2</v>
      </c>
      <c r="R507" s="30">
        <f t="shared" si="330"/>
        <v>0</v>
      </c>
      <c r="S507" s="2" t="s">
        <v>76</v>
      </c>
      <c r="T507" s="1" t="s">
        <v>77</v>
      </c>
    </row>
    <row r="508" spans="1:20" ht="15" customHeight="1" x14ac:dyDescent="0.25">
      <c r="A508" s="24" t="s">
        <v>71</v>
      </c>
      <c r="B508" s="3" t="s">
        <v>8</v>
      </c>
      <c r="C508" s="6">
        <f>COUNTA(C513:C537)</f>
        <v>4</v>
      </c>
      <c r="D508" s="2">
        <f t="shared" ref="D508:H508" si="331">COUNTA(D513:D537)</f>
        <v>4</v>
      </c>
      <c r="E508" s="2">
        <f t="shared" si="331"/>
        <v>4</v>
      </c>
      <c r="F508" s="2">
        <f t="shared" si="331"/>
        <v>24</v>
      </c>
      <c r="G508" s="2">
        <f t="shared" si="331"/>
        <v>4</v>
      </c>
      <c r="H508" s="2">
        <f t="shared" si="331"/>
        <v>0</v>
      </c>
      <c r="I508" s="2">
        <f>COUNTA(I513:I537)</f>
        <v>4</v>
      </c>
      <c r="J508" s="2">
        <f t="shared" ref="J508:N508" si="332">COUNTA(J513:J537)</f>
        <v>4</v>
      </c>
      <c r="K508" s="2">
        <f t="shared" si="332"/>
        <v>3</v>
      </c>
      <c r="L508" s="2">
        <f t="shared" si="332"/>
        <v>4</v>
      </c>
      <c r="M508" s="2">
        <f t="shared" si="332"/>
        <v>4</v>
      </c>
      <c r="N508" s="2">
        <f t="shared" si="332"/>
        <v>0</v>
      </c>
      <c r="O508" s="2">
        <f>COUNTA(O513:O537)</f>
        <v>4</v>
      </c>
      <c r="P508" s="2">
        <f t="shared" ref="P508:R508" si="333">COUNTA(P513:P537)</f>
        <v>4</v>
      </c>
      <c r="Q508" s="2">
        <f t="shared" si="333"/>
        <v>4</v>
      </c>
      <c r="R508" s="11">
        <f t="shared" si="333"/>
        <v>0</v>
      </c>
      <c r="S508" s="2">
        <v>0</v>
      </c>
      <c r="T508" s="1" t="s">
        <v>78</v>
      </c>
    </row>
    <row r="509" spans="1:20" ht="15" customHeight="1" x14ac:dyDescent="0.25">
      <c r="A509" s="33" t="s">
        <v>406</v>
      </c>
      <c r="B509" s="3" t="s">
        <v>9</v>
      </c>
      <c r="C509" s="28">
        <f>C508/$C510</f>
        <v>0.16666666666666666</v>
      </c>
      <c r="D509" s="29">
        <f t="shared" ref="D509" si="334">D508/$C510</f>
        <v>0.16666666666666666</v>
      </c>
      <c r="E509" s="29">
        <f t="shared" ref="E509" si="335">E508/$C510</f>
        <v>0.16666666666666666</v>
      </c>
      <c r="F509" s="29">
        <f t="shared" ref="F509" si="336">F508/$C510</f>
        <v>1</v>
      </c>
      <c r="G509" s="29">
        <f t="shared" ref="G509" si="337">G508/$C510</f>
        <v>0.16666666666666666</v>
      </c>
      <c r="H509" s="29">
        <f t="shared" ref="H509" si="338">H508/$C510</f>
        <v>0</v>
      </c>
      <c r="I509" s="29">
        <f t="shared" ref="I509" si="339">I508/$C510</f>
        <v>0.16666666666666666</v>
      </c>
      <c r="J509" s="29">
        <f t="shared" ref="J509" si="340">J508/$C510</f>
        <v>0.16666666666666666</v>
      </c>
      <c r="K509" s="29">
        <f t="shared" ref="K509" si="341">K508/$C510</f>
        <v>0.125</v>
      </c>
      <c r="L509" s="29">
        <f t="shared" ref="L509" si="342">L508/$C510</f>
        <v>0.16666666666666666</v>
      </c>
      <c r="M509" s="29">
        <f t="shared" ref="M509" si="343">M508/$C510</f>
        <v>0.16666666666666666</v>
      </c>
      <c r="N509" s="29">
        <f t="shared" ref="N509" si="344">N508/$C510</f>
        <v>0</v>
      </c>
      <c r="O509" s="29">
        <f t="shared" ref="O509" si="345">O508/$C510</f>
        <v>0.16666666666666666</v>
      </c>
      <c r="P509" s="29">
        <f t="shared" ref="P509" si="346">P508/$C510</f>
        <v>0.16666666666666666</v>
      </c>
      <c r="Q509" s="29">
        <f t="shared" ref="Q509" si="347">Q508/$C510</f>
        <v>0.16666666666666666</v>
      </c>
      <c r="R509" s="30">
        <f t="shared" ref="R509" si="348">R508/$C510</f>
        <v>0</v>
      </c>
      <c r="S509" s="2" t="s">
        <v>81</v>
      </c>
      <c r="T509" s="1" t="s">
        <v>82</v>
      </c>
    </row>
    <row r="510" spans="1:20" ht="15" customHeight="1" thickBot="1" x14ac:dyDescent="0.3">
      <c r="A510" s="24" t="s">
        <v>72</v>
      </c>
      <c r="B510" s="3" t="s">
        <v>7</v>
      </c>
      <c r="C510" s="7">
        <f>COUNTA($B513:$B537)</f>
        <v>24</v>
      </c>
      <c r="D510" s="8"/>
      <c r="E510" s="8"/>
      <c r="F510" s="8"/>
      <c r="G510" s="8"/>
      <c r="H510" s="31"/>
      <c r="I510" s="8"/>
      <c r="J510" s="8"/>
      <c r="K510" s="8"/>
      <c r="L510" s="8"/>
      <c r="M510" s="8"/>
      <c r="N510" s="31"/>
      <c r="O510" s="8"/>
      <c r="P510" s="8"/>
      <c r="Q510" s="8"/>
      <c r="R510" s="18"/>
      <c r="S510" s="2" t="s">
        <v>134</v>
      </c>
      <c r="T510" s="1" t="s">
        <v>135</v>
      </c>
    </row>
    <row r="511" spans="1:20" ht="15" customHeight="1" thickBot="1" x14ac:dyDescent="0.3">
      <c r="A511" s="33" t="s">
        <v>408</v>
      </c>
      <c r="C511" s="35" t="s">
        <v>15</v>
      </c>
      <c r="D511" s="36"/>
      <c r="E511" s="36"/>
      <c r="F511" s="36"/>
      <c r="G511" s="36"/>
      <c r="H511" s="36"/>
      <c r="I511" s="36" t="s">
        <v>13</v>
      </c>
      <c r="J511" s="36"/>
      <c r="K511" s="36"/>
      <c r="L511" s="36"/>
      <c r="M511" s="36"/>
      <c r="N511" s="36"/>
      <c r="O511" s="36" t="s">
        <v>14</v>
      </c>
      <c r="P511" s="36"/>
      <c r="Q511" s="36"/>
      <c r="R511" s="37"/>
    </row>
    <row r="512" spans="1:20" ht="28" customHeight="1" thickBot="1" x14ac:dyDescent="0.3">
      <c r="A512" s="19" t="s">
        <v>1</v>
      </c>
      <c r="B512" s="20" t="s">
        <v>0</v>
      </c>
      <c r="C512" s="12" t="s">
        <v>2</v>
      </c>
      <c r="D512" s="13" t="s">
        <v>3</v>
      </c>
      <c r="E512" s="13" t="s">
        <v>4</v>
      </c>
      <c r="F512" s="21" t="s">
        <v>84</v>
      </c>
      <c r="G512" s="21" t="s">
        <v>34</v>
      </c>
      <c r="H512" s="13" t="s">
        <v>5</v>
      </c>
      <c r="I512" s="13" t="s">
        <v>2</v>
      </c>
      <c r="J512" s="13" t="s">
        <v>3</v>
      </c>
      <c r="K512" s="13" t="s">
        <v>4</v>
      </c>
      <c r="L512" s="21" t="s">
        <v>83</v>
      </c>
      <c r="M512" s="21" t="s">
        <v>34</v>
      </c>
      <c r="N512" s="13" t="s">
        <v>5</v>
      </c>
      <c r="O512" s="13" t="s">
        <v>2</v>
      </c>
      <c r="P512" s="13" t="s">
        <v>3</v>
      </c>
      <c r="Q512" s="13" t="s">
        <v>4</v>
      </c>
      <c r="R512" s="14" t="s">
        <v>5</v>
      </c>
    </row>
    <row r="513" spans="1:19" ht="15" customHeight="1" x14ac:dyDescent="0.25">
      <c r="A513" s="15"/>
      <c r="B513" s="16" t="s">
        <v>404</v>
      </c>
      <c r="C513" s="6"/>
      <c r="F513" s="2" t="s">
        <v>6</v>
      </c>
      <c r="H513" s="22"/>
      <c r="I513" s="6"/>
      <c r="N513" s="22"/>
      <c r="O513" s="6"/>
      <c r="R513" s="22"/>
    </row>
    <row r="514" spans="1:19" ht="15" customHeight="1" x14ac:dyDescent="0.25">
      <c r="A514" s="15"/>
      <c r="B514" s="16" t="s">
        <v>405</v>
      </c>
      <c r="C514" s="6"/>
      <c r="F514" s="2" t="s">
        <v>6</v>
      </c>
      <c r="H514" s="22"/>
      <c r="I514" s="6"/>
      <c r="N514" s="22"/>
      <c r="O514" s="6"/>
      <c r="R514" s="22"/>
    </row>
    <row r="515" spans="1:19" ht="15" customHeight="1" x14ac:dyDescent="0.25">
      <c r="A515" s="15"/>
      <c r="B515" s="16" t="s">
        <v>409</v>
      </c>
      <c r="C515" s="6"/>
      <c r="F515" s="2" t="s">
        <v>6</v>
      </c>
      <c r="H515" s="22"/>
      <c r="I515" s="6"/>
      <c r="N515" s="22"/>
      <c r="O515" s="6"/>
      <c r="R515" s="22"/>
    </row>
    <row r="516" spans="1:19" ht="15" customHeight="1" x14ac:dyDescent="0.25">
      <c r="A516" s="15"/>
      <c r="B516" s="16" t="s">
        <v>410</v>
      </c>
      <c r="C516" s="6"/>
      <c r="F516" s="2" t="s">
        <v>6</v>
      </c>
      <c r="H516" s="22"/>
      <c r="I516" s="6"/>
      <c r="N516" s="22"/>
      <c r="O516" s="6"/>
      <c r="R516" s="22"/>
    </row>
    <row r="517" spans="1:19" ht="15" customHeight="1" x14ac:dyDescent="0.25">
      <c r="A517" s="15"/>
      <c r="B517" s="16" t="s">
        <v>411</v>
      </c>
      <c r="C517" s="6"/>
      <c r="F517" s="2" t="s">
        <v>6</v>
      </c>
      <c r="H517" s="22"/>
      <c r="I517" s="6"/>
      <c r="N517" s="22"/>
      <c r="O517" s="6"/>
      <c r="R517" s="22"/>
    </row>
    <row r="518" spans="1:19" ht="15" customHeight="1" x14ac:dyDescent="0.25">
      <c r="A518" s="15"/>
      <c r="B518" s="16" t="s">
        <v>412</v>
      </c>
      <c r="C518" s="6"/>
      <c r="F518" s="2" t="s">
        <v>6</v>
      </c>
      <c r="H518" s="22"/>
      <c r="I518" s="6"/>
      <c r="N518" s="22"/>
      <c r="O518" s="6"/>
      <c r="R518" s="22"/>
    </row>
    <row r="519" spans="1:19" ht="15" customHeight="1" x14ac:dyDescent="0.25">
      <c r="A519" s="15"/>
      <c r="B519" s="16" t="s">
        <v>413</v>
      </c>
      <c r="C519" s="6"/>
      <c r="F519" s="2" t="s">
        <v>6</v>
      </c>
      <c r="H519" s="22"/>
      <c r="I519" s="6"/>
      <c r="N519" s="22"/>
      <c r="O519" s="6"/>
      <c r="R519" s="22"/>
    </row>
    <row r="520" spans="1:19" ht="15" customHeight="1" x14ac:dyDescent="0.25">
      <c r="A520" s="15"/>
      <c r="B520" s="16" t="s">
        <v>414</v>
      </c>
      <c r="C520" s="6"/>
      <c r="F520" s="2" t="s">
        <v>6</v>
      </c>
      <c r="H520" s="22"/>
      <c r="I520" s="6"/>
      <c r="N520" s="22"/>
      <c r="O520" s="6"/>
      <c r="R520" s="22"/>
    </row>
    <row r="521" spans="1:19" ht="15" customHeight="1" x14ac:dyDescent="0.25">
      <c r="A521" s="15"/>
      <c r="B521" s="16" t="s">
        <v>415</v>
      </c>
      <c r="C521" s="6"/>
      <c r="F521" s="2" t="s">
        <v>6</v>
      </c>
      <c r="H521" s="22"/>
      <c r="I521" s="6"/>
      <c r="N521" s="22"/>
      <c r="O521" s="6"/>
      <c r="R521" s="22"/>
    </row>
    <row r="522" spans="1:19" ht="15" customHeight="1" x14ac:dyDescent="0.25">
      <c r="A522" s="15"/>
      <c r="B522" s="16" t="s">
        <v>416</v>
      </c>
      <c r="C522" s="6"/>
      <c r="F522" s="2" t="s">
        <v>6</v>
      </c>
      <c r="H522" s="22"/>
      <c r="I522" s="6"/>
      <c r="N522" s="22"/>
      <c r="O522" s="6"/>
      <c r="R522" s="22"/>
    </row>
    <row r="523" spans="1:19" ht="15" customHeight="1" x14ac:dyDescent="0.25">
      <c r="A523" s="15"/>
      <c r="B523" s="16" t="s">
        <v>417</v>
      </c>
      <c r="C523" s="6"/>
      <c r="F523" s="2" t="s">
        <v>6</v>
      </c>
      <c r="H523" s="22"/>
      <c r="I523" s="6"/>
      <c r="N523" s="22"/>
      <c r="O523" s="6"/>
      <c r="R523" s="22"/>
      <c r="S523" s="27"/>
    </row>
    <row r="524" spans="1:19" ht="15" customHeight="1" x14ac:dyDescent="0.25">
      <c r="A524" s="15"/>
      <c r="B524" s="16" t="s">
        <v>418</v>
      </c>
      <c r="C524" s="6"/>
      <c r="F524" s="2" t="s">
        <v>6</v>
      </c>
      <c r="H524" s="22"/>
      <c r="I524" s="6"/>
      <c r="N524" s="22"/>
      <c r="O524" s="6"/>
      <c r="R524" s="22"/>
    </row>
    <row r="525" spans="1:19" ht="15" customHeight="1" x14ac:dyDescent="0.25">
      <c r="A525" s="15"/>
      <c r="B525" s="16" t="s">
        <v>419</v>
      </c>
      <c r="C525" s="6"/>
      <c r="F525" s="2" t="s">
        <v>6</v>
      </c>
      <c r="H525" s="22"/>
      <c r="I525" s="6"/>
      <c r="N525" s="22"/>
      <c r="O525" s="6"/>
      <c r="R525" s="22"/>
    </row>
    <row r="526" spans="1:19" ht="15" customHeight="1" x14ac:dyDescent="0.25">
      <c r="A526" s="15" t="s">
        <v>407</v>
      </c>
      <c r="B526" s="16" t="s">
        <v>420</v>
      </c>
      <c r="C526" s="6">
        <v>0</v>
      </c>
      <c r="D526" s="2">
        <v>0</v>
      </c>
      <c r="E526" s="2" t="s">
        <v>6</v>
      </c>
      <c r="F526" s="2" t="s">
        <v>104</v>
      </c>
      <c r="G526" s="2">
        <v>0</v>
      </c>
      <c r="H526" s="22"/>
      <c r="I526" s="6">
        <v>0</v>
      </c>
      <c r="J526" s="2">
        <v>0</v>
      </c>
      <c r="K526" s="2" t="s">
        <v>6</v>
      </c>
      <c r="L526" s="2" t="s">
        <v>81</v>
      </c>
      <c r="M526" s="2">
        <v>0</v>
      </c>
      <c r="N526" s="22"/>
      <c r="O526" s="6">
        <v>0</v>
      </c>
      <c r="P526" s="2">
        <v>0</v>
      </c>
      <c r="Q526" s="2" t="s">
        <v>6</v>
      </c>
      <c r="R526" s="22"/>
    </row>
    <row r="527" spans="1:19" ht="15" customHeight="1" x14ac:dyDescent="0.25">
      <c r="A527" s="15"/>
      <c r="B527" s="16" t="s">
        <v>421</v>
      </c>
      <c r="C527" s="6"/>
      <c r="F527" s="2" t="s">
        <v>6</v>
      </c>
      <c r="H527" s="22"/>
      <c r="I527" s="6"/>
      <c r="N527" s="22"/>
      <c r="O527" s="6"/>
      <c r="R527" s="22"/>
    </row>
    <row r="528" spans="1:19" ht="15" customHeight="1" x14ac:dyDescent="0.25">
      <c r="A528" s="15"/>
      <c r="B528" s="16" t="s">
        <v>422</v>
      </c>
      <c r="C528" s="6"/>
      <c r="F528" s="2" t="s">
        <v>6</v>
      </c>
      <c r="H528" s="22"/>
      <c r="I528" s="6"/>
      <c r="N528" s="22"/>
      <c r="O528" s="6"/>
      <c r="R528" s="22"/>
    </row>
    <row r="529" spans="1:19" ht="15" customHeight="1" x14ac:dyDescent="0.25">
      <c r="A529" s="15"/>
      <c r="B529" s="16" t="s">
        <v>423</v>
      </c>
      <c r="C529" s="6"/>
      <c r="F529" s="2" t="s">
        <v>6</v>
      </c>
      <c r="H529" s="22"/>
      <c r="I529" s="6"/>
      <c r="N529" s="22"/>
      <c r="O529" s="6"/>
      <c r="R529" s="22"/>
      <c r="S529" s="27"/>
    </row>
    <row r="530" spans="1:19" ht="15" customHeight="1" x14ac:dyDescent="0.25">
      <c r="A530" s="15"/>
      <c r="B530" s="16" t="s">
        <v>424</v>
      </c>
      <c r="C530" s="6"/>
      <c r="F530" s="2" t="s">
        <v>6</v>
      </c>
      <c r="H530" s="22"/>
      <c r="I530" s="6"/>
      <c r="N530" s="22"/>
      <c r="O530" s="6"/>
      <c r="R530" s="22"/>
    </row>
    <row r="531" spans="1:19" ht="15" customHeight="1" x14ac:dyDescent="0.25">
      <c r="A531" s="15" t="s">
        <v>407</v>
      </c>
      <c r="B531" s="16" t="s">
        <v>425</v>
      </c>
      <c r="C531" s="6">
        <v>0</v>
      </c>
      <c r="D531" s="2">
        <v>0</v>
      </c>
      <c r="E531" s="2">
        <v>0</v>
      </c>
      <c r="F531" s="2">
        <v>0</v>
      </c>
      <c r="G531" s="2" t="s">
        <v>104</v>
      </c>
      <c r="H531" s="22"/>
      <c r="I531" s="6">
        <v>0</v>
      </c>
      <c r="J531" s="2">
        <v>0</v>
      </c>
      <c r="K531" s="2">
        <v>0</v>
      </c>
      <c r="L531" s="2" t="s">
        <v>81</v>
      </c>
      <c r="M531" s="2">
        <v>0</v>
      </c>
      <c r="N531" s="22"/>
      <c r="O531" s="6">
        <v>0</v>
      </c>
      <c r="P531" s="2">
        <v>0</v>
      </c>
      <c r="Q531" s="2">
        <v>0</v>
      </c>
      <c r="R531" s="22"/>
    </row>
    <row r="532" spans="1:19" ht="15" customHeight="1" x14ac:dyDescent="0.25">
      <c r="A532" s="15" t="s">
        <v>407</v>
      </c>
      <c r="B532" s="16" t="s">
        <v>426</v>
      </c>
      <c r="C532" s="6">
        <v>0</v>
      </c>
      <c r="D532" s="2">
        <v>0</v>
      </c>
      <c r="E532" s="2" t="s">
        <v>6</v>
      </c>
      <c r="F532" s="2">
        <v>0</v>
      </c>
      <c r="G532" s="2" t="s">
        <v>235</v>
      </c>
      <c r="H532" s="22"/>
      <c r="I532" s="6">
        <v>0</v>
      </c>
      <c r="J532" s="2">
        <v>0</v>
      </c>
      <c r="L532" s="2" t="s">
        <v>104</v>
      </c>
      <c r="M532" s="2">
        <v>0</v>
      </c>
      <c r="N532" s="22"/>
      <c r="O532" s="6">
        <v>0</v>
      </c>
      <c r="P532" s="2">
        <v>0</v>
      </c>
      <c r="Q532" s="2" t="s">
        <v>6</v>
      </c>
      <c r="R532" s="22"/>
    </row>
    <row r="533" spans="1:19" ht="15" customHeight="1" x14ac:dyDescent="0.25">
      <c r="A533" s="15"/>
      <c r="B533" s="16" t="s">
        <v>427</v>
      </c>
      <c r="C533" s="6"/>
      <c r="F533" s="2" t="s">
        <v>6</v>
      </c>
      <c r="G533" s="34"/>
      <c r="H533" s="22"/>
      <c r="I533" s="6"/>
      <c r="N533" s="22"/>
      <c r="O533" s="6"/>
      <c r="R533" s="22"/>
      <c r="S533" s="27"/>
    </row>
    <row r="534" spans="1:19" ht="15" customHeight="1" x14ac:dyDescent="0.25">
      <c r="A534" s="15"/>
      <c r="B534" s="16" t="s">
        <v>428</v>
      </c>
      <c r="C534" s="6"/>
      <c r="F534" s="2" t="s">
        <v>6</v>
      </c>
      <c r="H534" s="22"/>
      <c r="I534" s="6"/>
      <c r="N534" s="22"/>
      <c r="O534" s="6"/>
      <c r="R534" s="22"/>
    </row>
    <row r="535" spans="1:19" ht="15" customHeight="1" x14ac:dyDescent="0.25">
      <c r="A535" s="15" t="s">
        <v>407</v>
      </c>
      <c r="B535" s="16" t="s">
        <v>429</v>
      </c>
      <c r="C535" s="6">
        <v>0</v>
      </c>
      <c r="D535" s="2">
        <v>0</v>
      </c>
      <c r="E535" s="2">
        <v>0</v>
      </c>
      <c r="F535" s="2" t="s">
        <v>6</v>
      </c>
      <c r="G535" s="2">
        <v>0</v>
      </c>
      <c r="H535" s="22"/>
      <c r="I535" s="6">
        <v>0</v>
      </c>
      <c r="J535" s="2">
        <v>0</v>
      </c>
      <c r="K535" s="2">
        <v>0</v>
      </c>
      <c r="L535" s="2" t="s">
        <v>81</v>
      </c>
      <c r="M535" s="2">
        <v>0</v>
      </c>
      <c r="N535" s="22"/>
      <c r="O535" s="6">
        <v>0</v>
      </c>
      <c r="P535" s="2">
        <v>0</v>
      </c>
      <c r="Q535" s="2">
        <v>0</v>
      </c>
      <c r="R535" s="22"/>
    </row>
    <row r="536" spans="1:19" ht="15" customHeight="1" x14ac:dyDescent="0.25">
      <c r="A536" s="15"/>
      <c r="B536" s="16" t="s">
        <v>430</v>
      </c>
      <c r="C536" s="6"/>
      <c r="F536" s="2" t="s">
        <v>6</v>
      </c>
      <c r="H536" s="22"/>
      <c r="I536" s="6"/>
      <c r="N536" s="22"/>
      <c r="O536" s="6"/>
      <c r="R536" s="22"/>
    </row>
    <row r="537" spans="1:19" ht="15" customHeight="1" thickBot="1" x14ac:dyDescent="0.3">
      <c r="A537" s="17"/>
      <c r="B537" s="18"/>
      <c r="C537" s="7"/>
      <c r="D537" s="8"/>
      <c r="E537" s="8"/>
      <c r="F537" s="8"/>
      <c r="G537" s="8"/>
      <c r="H537" s="23"/>
      <c r="I537" s="7"/>
      <c r="J537" s="8"/>
      <c r="K537" s="8"/>
      <c r="L537" s="8"/>
      <c r="M537" s="8"/>
      <c r="N537" s="23"/>
      <c r="O537" s="7"/>
      <c r="P537" s="8"/>
      <c r="Q537" s="8"/>
      <c r="R537" s="23"/>
    </row>
  </sheetData>
  <mergeCells count="51">
    <mergeCell ref="C511:H511"/>
    <mergeCell ref="I511:N511"/>
    <mergeCell ref="O511:R511"/>
    <mergeCell ref="C443:H443"/>
    <mergeCell ref="I443:N443"/>
    <mergeCell ref="O443:R443"/>
    <mergeCell ref="C477:H477"/>
    <mergeCell ref="I477:N477"/>
    <mergeCell ref="O477:R477"/>
    <mergeCell ref="C375:H375"/>
    <mergeCell ref="I375:N375"/>
    <mergeCell ref="O375:R375"/>
    <mergeCell ref="C409:H409"/>
    <mergeCell ref="I409:N409"/>
    <mergeCell ref="O409:R409"/>
    <mergeCell ref="C313:H313"/>
    <mergeCell ref="I313:N313"/>
    <mergeCell ref="O313:R313"/>
    <mergeCell ref="C341:H341"/>
    <mergeCell ref="I341:N341"/>
    <mergeCell ref="O341:R341"/>
    <mergeCell ref="C251:H251"/>
    <mergeCell ref="I251:N251"/>
    <mergeCell ref="O251:R251"/>
    <mergeCell ref="C285:H285"/>
    <mergeCell ref="I285:N285"/>
    <mergeCell ref="O285:R285"/>
    <mergeCell ref="C183:H183"/>
    <mergeCell ref="I183:N183"/>
    <mergeCell ref="O183:R183"/>
    <mergeCell ref="C217:H217"/>
    <mergeCell ref="I217:N217"/>
    <mergeCell ref="O217:R217"/>
    <mergeCell ref="C122:H122"/>
    <mergeCell ref="I122:N122"/>
    <mergeCell ref="O122:R122"/>
    <mergeCell ref="C156:H156"/>
    <mergeCell ref="I156:N156"/>
    <mergeCell ref="O156:R156"/>
    <mergeCell ref="C61:H61"/>
    <mergeCell ref="I61:N61"/>
    <mergeCell ref="O61:R61"/>
    <mergeCell ref="C95:H95"/>
    <mergeCell ref="I95:N95"/>
    <mergeCell ref="O95:R95"/>
    <mergeCell ref="C7:H7"/>
    <mergeCell ref="I7:N7"/>
    <mergeCell ref="O7:R7"/>
    <mergeCell ref="C34:H34"/>
    <mergeCell ref="I34:N34"/>
    <mergeCell ref="O34:R34"/>
  </mergeCells>
  <phoneticPr fontId="5" type="noConversion"/>
  <conditionalFormatting sqref="C9:R26 C158:R175 C97:R114 C287:R305 C315:R333">
    <cfRule type="cellIs" dxfId="88" priority="85" operator="equal">
      <formula>"XX"</formula>
    </cfRule>
    <cfRule type="cellIs" dxfId="87" priority="98" operator="equal">
      <formula>"X"</formula>
    </cfRule>
    <cfRule type="cellIs" dxfId="86" priority="100" operator="equal">
      <formula>"A"</formula>
    </cfRule>
  </conditionalFormatting>
  <conditionalFormatting sqref="C36:R53">
    <cfRule type="cellIs" dxfId="85" priority="86" operator="equal">
      <formula>"XX"</formula>
    </cfRule>
    <cfRule type="cellIs" dxfId="84" priority="94" operator="equal">
      <formula>"X"</formula>
    </cfRule>
    <cfRule type="cellIs" dxfId="83" priority="96" operator="equal">
      <formula>"A"</formula>
    </cfRule>
  </conditionalFormatting>
  <conditionalFormatting sqref="C63:R87">
    <cfRule type="cellIs" dxfId="82" priority="88" operator="equal">
      <formula>"XX"</formula>
    </cfRule>
    <cfRule type="cellIs" dxfId="81" priority="90" operator="equal">
      <formula>"X"</formula>
    </cfRule>
    <cfRule type="cellIs" dxfId="80" priority="92" operator="equal">
      <formula>"A"</formula>
    </cfRule>
  </conditionalFormatting>
  <conditionalFormatting sqref="C124:R148">
    <cfRule type="cellIs" dxfId="79" priority="73" operator="equal">
      <formula>"XX"</formula>
    </cfRule>
    <cfRule type="cellIs" dxfId="78" priority="75" operator="equal">
      <formula>"X"</formula>
    </cfRule>
    <cfRule type="cellIs" dxfId="77" priority="77" operator="equal">
      <formula>"A"</formula>
    </cfRule>
  </conditionalFormatting>
  <conditionalFormatting sqref="C185:R209">
    <cfRule type="cellIs" dxfId="76" priority="61" operator="equal">
      <formula>"XX"</formula>
    </cfRule>
    <cfRule type="cellIs" dxfId="75" priority="63" operator="equal">
      <formula>"X"</formula>
    </cfRule>
    <cfRule type="cellIs" dxfId="74" priority="65" operator="equal">
      <formula>"A"</formula>
    </cfRule>
  </conditionalFormatting>
  <conditionalFormatting sqref="C219:R243">
    <cfRule type="cellIs" dxfId="73" priority="55" operator="equal">
      <formula>"XX"</formula>
    </cfRule>
    <cfRule type="cellIs" dxfId="72" priority="57" operator="equal">
      <formula>"X"</formula>
    </cfRule>
    <cfRule type="cellIs" dxfId="71" priority="59" operator="equal">
      <formula>"A"</formula>
    </cfRule>
  </conditionalFormatting>
  <conditionalFormatting sqref="C253:R277">
    <cfRule type="cellIs" dxfId="70" priority="49" operator="equal">
      <formula>"XX"</formula>
    </cfRule>
    <cfRule type="cellIs" dxfId="69" priority="51" operator="equal">
      <formula>"X"</formula>
    </cfRule>
    <cfRule type="cellIs" dxfId="68" priority="53" operator="equal">
      <formula>"A"</formula>
    </cfRule>
  </conditionalFormatting>
  <conditionalFormatting sqref="C343:R367">
    <cfRule type="cellIs" dxfId="67" priority="31" operator="equal">
      <formula>"XX"</formula>
    </cfRule>
    <cfRule type="cellIs" dxfId="66" priority="33" operator="equal">
      <formula>"X"</formula>
    </cfRule>
    <cfRule type="cellIs" dxfId="65" priority="35" operator="equal">
      <formula>"A"</formula>
    </cfRule>
  </conditionalFormatting>
  <conditionalFormatting sqref="C377:R401">
    <cfRule type="cellIs" dxfId="64" priority="25" operator="equal">
      <formula>"XX"</formula>
    </cfRule>
    <cfRule type="cellIs" dxfId="63" priority="27" operator="equal">
      <formula>"X"</formula>
    </cfRule>
    <cfRule type="cellIs" dxfId="62" priority="29" operator="equal">
      <formula>"A"</formula>
    </cfRule>
  </conditionalFormatting>
  <conditionalFormatting sqref="C411:R435">
    <cfRule type="cellIs" dxfId="61" priority="19" operator="equal">
      <formula>"XX"</formula>
    </cfRule>
    <cfRule type="cellIs" dxfId="60" priority="21" operator="equal">
      <formula>"X"</formula>
    </cfRule>
    <cfRule type="cellIs" dxfId="59" priority="23" operator="equal">
      <formula>"A"</formula>
    </cfRule>
  </conditionalFormatting>
  <conditionalFormatting sqref="C445:R469">
    <cfRule type="cellIs" dxfId="58" priority="13" operator="equal">
      <formula>"XX"</formula>
    </cfRule>
    <cfRule type="cellIs" dxfId="57" priority="15" operator="equal">
      <formula>"X"</formula>
    </cfRule>
    <cfRule type="cellIs" dxfId="56" priority="17" operator="equal">
      <formula>"A"</formula>
    </cfRule>
  </conditionalFormatting>
  <conditionalFormatting sqref="C479:R503">
    <cfRule type="cellIs" dxfId="55" priority="7" operator="equal">
      <formula>"XX"</formula>
    </cfRule>
    <cfRule type="cellIs" dxfId="54" priority="9" operator="equal">
      <formula>"X"</formula>
    </cfRule>
    <cfRule type="cellIs" dxfId="53" priority="11" operator="equal">
      <formula>"A"</formula>
    </cfRule>
  </conditionalFormatting>
  <conditionalFormatting sqref="C513:R537">
    <cfRule type="cellIs" dxfId="52" priority="1" operator="equal">
      <formula>"XX"</formula>
    </cfRule>
    <cfRule type="cellIs" dxfId="51" priority="3" operator="equal">
      <formula>"X"</formula>
    </cfRule>
    <cfRule type="cellIs" dxfId="50" priority="5" operator="equal">
      <formula>"A"</formula>
    </cfRule>
  </conditionalFormatting>
  <conditionalFormatting sqref="S2">
    <cfRule type="cellIs" dxfId="49" priority="101" operator="equal">
      <formula>"A"</formula>
    </cfRule>
  </conditionalFormatting>
  <conditionalFormatting sqref="S5">
    <cfRule type="cellIs" dxfId="48" priority="99" operator="equal">
      <formula>"X"</formula>
    </cfRule>
  </conditionalFormatting>
  <conditionalFormatting sqref="S29">
    <cfRule type="cellIs" dxfId="47" priority="97" operator="equal">
      <formula>"A"</formula>
    </cfRule>
  </conditionalFormatting>
  <conditionalFormatting sqref="S32">
    <cfRule type="cellIs" dxfId="46" priority="95" operator="equal">
      <formula>"X"</formula>
    </cfRule>
  </conditionalFormatting>
  <conditionalFormatting sqref="S33">
    <cfRule type="cellIs" dxfId="45" priority="87" operator="equal">
      <formula>"XX"</formula>
    </cfRule>
  </conditionalFormatting>
  <conditionalFormatting sqref="S56">
    <cfRule type="cellIs" dxfId="44" priority="93" operator="equal">
      <formula>"A"</formula>
    </cfRule>
  </conditionalFormatting>
  <conditionalFormatting sqref="S59">
    <cfRule type="cellIs" dxfId="43" priority="91" operator="equal">
      <formula>"X"</formula>
    </cfRule>
  </conditionalFormatting>
  <conditionalFormatting sqref="S60">
    <cfRule type="cellIs" dxfId="42" priority="89" operator="equal">
      <formula>"XX"</formula>
    </cfRule>
  </conditionalFormatting>
  <conditionalFormatting sqref="S90">
    <cfRule type="cellIs" dxfId="41" priority="84" operator="equal">
      <formula>"A"</formula>
    </cfRule>
  </conditionalFormatting>
  <conditionalFormatting sqref="S93">
    <cfRule type="cellIs" dxfId="40" priority="82" operator="equal">
      <formula>"X"</formula>
    </cfRule>
  </conditionalFormatting>
  <conditionalFormatting sqref="S94">
    <cfRule type="cellIs" dxfId="39" priority="80" operator="equal">
      <formula>"XX"</formula>
    </cfRule>
  </conditionalFormatting>
  <conditionalFormatting sqref="S117">
    <cfRule type="cellIs" dxfId="38" priority="78" operator="equal">
      <formula>"A"</formula>
    </cfRule>
  </conditionalFormatting>
  <conditionalFormatting sqref="S120">
    <cfRule type="cellIs" dxfId="37" priority="76" operator="equal">
      <formula>"X"</formula>
    </cfRule>
  </conditionalFormatting>
  <conditionalFormatting sqref="S121">
    <cfRule type="cellIs" dxfId="36" priority="74" operator="equal">
      <formula>"XX"</formula>
    </cfRule>
  </conditionalFormatting>
  <conditionalFormatting sqref="S151">
    <cfRule type="cellIs" dxfId="35" priority="72" operator="equal">
      <formula>"A"</formula>
    </cfRule>
  </conditionalFormatting>
  <conditionalFormatting sqref="S154">
    <cfRule type="cellIs" dxfId="34" priority="70" operator="equal">
      <formula>"X"</formula>
    </cfRule>
  </conditionalFormatting>
  <conditionalFormatting sqref="S155">
    <cfRule type="cellIs" dxfId="33" priority="68" operator="equal">
      <formula>"XX"</formula>
    </cfRule>
  </conditionalFormatting>
  <conditionalFormatting sqref="S178">
    <cfRule type="cellIs" dxfId="32" priority="66" operator="equal">
      <formula>"A"</formula>
    </cfRule>
  </conditionalFormatting>
  <conditionalFormatting sqref="S181">
    <cfRule type="cellIs" dxfId="31" priority="64" operator="equal">
      <formula>"X"</formula>
    </cfRule>
  </conditionalFormatting>
  <conditionalFormatting sqref="S182">
    <cfRule type="cellIs" dxfId="30" priority="62" operator="equal">
      <formula>"XX"</formula>
    </cfRule>
  </conditionalFormatting>
  <conditionalFormatting sqref="S212">
    <cfRule type="cellIs" dxfId="29" priority="60" operator="equal">
      <formula>"A"</formula>
    </cfRule>
  </conditionalFormatting>
  <conditionalFormatting sqref="S215">
    <cfRule type="cellIs" dxfId="28" priority="58" operator="equal">
      <formula>"X"</formula>
    </cfRule>
  </conditionalFormatting>
  <conditionalFormatting sqref="S216">
    <cfRule type="cellIs" dxfId="27" priority="56" operator="equal">
      <formula>"XX"</formula>
    </cfRule>
  </conditionalFormatting>
  <conditionalFormatting sqref="S246">
    <cfRule type="cellIs" dxfId="26" priority="54" operator="equal">
      <formula>"A"</formula>
    </cfRule>
  </conditionalFormatting>
  <conditionalFormatting sqref="S249">
    <cfRule type="cellIs" dxfId="25" priority="52" operator="equal">
      <formula>"X"</formula>
    </cfRule>
  </conditionalFormatting>
  <conditionalFormatting sqref="S250">
    <cfRule type="cellIs" dxfId="24" priority="50" operator="equal">
      <formula>"XX"</formula>
    </cfRule>
  </conditionalFormatting>
  <conditionalFormatting sqref="S280">
    <cfRule type="cellIs" dxfId="23" priority="48" operator="equal">
      <formula>"A"</formula>
    </cfRule>
  </conditionalFormatting>
  <conditionalFormatting sqref="S283">
    <cfRule type="cellIs" dxfId="22" priority="46" operator="equal">
      <formula>"X"</formula>
    </cfRule>
  </conditionalFormatting>
  <conditionalFormatting sqref="S284">
    <cfRule type="cellIs" dxfId="21" priority="44" operator="equal">
      <formula>"XX"</formula>
    </cfRule>
  </conditionalFormatting>
  <conditionalFormatting sqref="S308">
    <cfRule type="cellIs" dxfId="20" priority="42" operator="equal">
      <formula>"A"</formula>
    </cfRule>
  </conditionalFormatting>
  <conditionalFormatting sqref="S311">
    <cfRule type="cellIs" dxfId="19" priority="40" operator="equal">
      <formula>"X"</formula>
    </cfRule>
  </conditionalFormatting>
  <conditionalFormatting sqref="S312">
    <cfRule type="cellIs" dxfId="18" priority="38" operator="equal">
      <formula>"XX"</formula>
    </cfRule>
  </conditionalFormatting>
  <conditionalFormatting sqref="S336">
    <cfRule type="cellIs" dxfId="17" priority="36" operator="equal">
      <formula>"A"</formula>
    </cfRule>
  </conditionalFormatting>
  <conditionalFormatting sqref="S339">
    <cfRule type="cellIs" dxfId="16" priority="34" operator="equal">
      <formula>"X"</formula>
    </cfRule>
  </conditionalFormatting>
  <conditionalFormatting sqref="S340">
    <cfRule type="cellIs" dxfId="15" priority="32" operator="equal">
      <formula>"XX"</formula>
    </cfRule>
  </conditionalFormatting>
  <conditionalFormatting sqref="S370">
    <cfRule type="cellIs" dxfId="14" priority="30" operator="equal">
      <formula>"A"</formula>
    </cfRule>
  </conditionalFormatting>
  <conditionalFormatting sqref="S373">
    <cfRule type="cellIs" dxfId="13" priority="28" operator="equal">
      <formula>"X"</formula>
    </cfRule>
  </conditionalFormatting>
  <conditionalFormatting sqref="S374">
    <cfRule type="cellIs" dxfId="12" priority="26" operator="equal">
      <formula>"XX"</formula>
    </cfRule>
  </conditionalFormatting>
  <conditionalFormatting sqref="S404">
    <cfRule type="cellIs" dxfId="11" priority="24" operator="equal">
      <formula>"A"</formula>
    </cfRule>
  </conditionalFormatting>
  <conditionalFormatting sqref="S407">
    <cfRule type="cellIs" dxfId="10" priority="22" operator="equal">
      <formula>"X"</formula>
    </cfRule>
  </conditionalFormatting>
  <conditionalFormatting sqref="S408">
    <cfRule type="cellIs" dxfId="9" priority="20" operator="equal">
      <formula>"XX"</formula>
    </cfRule>
  </conditionalFormatting>
  <conditionalFormatting sqref="S438">
    <cfRule type="cellIs" dxfId="8" priority="18" operator="equal">
      <formula>"A"</formula>
    </cfRule>
  </conditionalFormatting>
  <conditionalFormatting sqref="S441">
    <cfRule type="cellIs" dxfId="7" priority="16" operator="equal">
      <formula>"X"</formula>
    </cfRule>
  </conditionalFormatting>
  <conditionalFormatting sqref="S442">
    <cfRule type="cellIs" dxfId="6" priority="14" operator="equal">
      <formula>"XX"</formula>
    </cfRule>
  </conditionalFormatting>
  <conditionalFormatting sqref="S472">
    <cfRule type="cellIs" dxfId="5" priority="12" operator="equal">
      <formula>"A"</formula>
    </cfRule>
  </conditionalFormatting>
  <conditionalFormatting sqref="S475">
    <cfRule type="cellIs" dxfId="4" priority="10" operator="equal">
      <formula>"X"</formula>
    </cfRule>
  </conditionalFormatting>
  <conditionalFormatting sqref="S476">
    <cfRule type="cellIs" dxfId="3" priority="8" operator="equal">
      <formula>"XX"</formula>
    </cfRule>
  </conditionalFormatting>
  <conditionalFormatting sqref="S506">
    <cfRule type="cellIs" dxfId="2" priority="6" operator="equal">
      <formula>"A"</formula>
    </cfRule>
  </conditionalFormatting>
  <conditionalFormatting sqref="S509">
    <cfRule type="cellIs" dxfId="1" priority="4" operator="equal">
      <formula>"X"</formula>
    </cfRule>
  </conditionalFormatting>
  <conditionalFormatting sqref="S510">
    <cfRule type="cellIs" dxfId="0" priority="2" operator="equal">
      <formula>"XX"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headerFooter>
    <oddHeader>&amp;LImmobilière 3F
Résidence SAINT-ELOI&amp;CAnalyse diagnostics amiante</oddHeader>
    <oddFooter>&amp;LGAA Architectes - IPC - Pouget Consultants&amp;C&amp;P/&amp;N</oddFooter>
  </headerFooter>
  <rowBreaks count="8" manualBreakCount="8">
    <brk id="53" max="19" man="1"/>
    <brk id="114" max="19" man="1"/>
    <brk id="175" max="19" man="1"/>
    <brk id="243" max="19" man="1"/>
    <brk id="305" max="19" man="1"/>
    <brk id="367" max="19" man="1"/>
    <brk id="435" max="19" man="1"/>
    <brk id="503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ROJAS</dc:creator>
  <cp:lastModifiedBy>Yannick ROJAS</cp:lastModifiedBy>
  <cp:lastPrinted>2024-06-03T13:12:13Z</cp:lastPrinted>
  <dcterms:created xsi:type="dcterms:W3CDTF">2024-05-28T17:34:31Z</dcterms:created>
  <dcterms:modified xsi:type="dcterms:W3CDTF">2024-10-21T17:05:16Z</dcterms:modified>
</cp:coreProperties>
</file>